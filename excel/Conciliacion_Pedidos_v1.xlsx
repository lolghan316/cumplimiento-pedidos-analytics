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Downloads\Paquete_inicio_cumplimiento_pedidos\cumplimiento-pedidos\excel\"/>
    </mc:Choice>
  </mc:AlternateContent>
  <xr:revisionPtr revIDLastSave="0" documentId="13_ncr:1_{A6FD1348-4F92-4E21-B4A3-3D93004DA6DA}" xr6:coauthVersionLast="47" xr6:coauthVersionMax="47" xr10:uidLastSave="{00000000-0000-0000-0000-000000000000}"/>
  <bookViews>
    <workbookView xWindow="-120" yWindow="-120" windowWidth="38640" windowHeight="21120" activeTab="2" xr2:uid="{3D560D10-7EC6-48E6-97D8-E5E21CF69984}"/>
  </bookViews>
  <sheets>
    <sheet name="Entregas" sheetId="9" r:id="rId1"/>
    <sheet name="Líneas" sheetId="8" r:id="rId2"/>
    <sheet name="Pedidos" sheetId="7" r:id="rId3"/>
    <sheet name="Hoja1" sheetId="1" r:id="rId4"/>
  </sheets>
  <definedNames>
    <definedName name="DatosExternos_1" localSheetId="2" hidden="1">Pedidos!$A$1:$I$11</definedName>
    <definedName name="DatosExternos_2" localSheetId="0" hidden="1">Entregas!$A$1:$F$72</definedName>
    <definedName name="DatosExternos_2" localSheetId="1" hidden="1">Líneas!$A$1:$E$80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7" l="1"/>
  <c r="P3" i="7"/>
  <c r="P4" i="7"/>
  <c r="P5" i="7"/>
  <c r="P6" i="7"/>
  <c r="P7" i="7"/>
  <c r="P8" i="7"/>
  <c r="P9" i="7"/>
  <c r="P10" i="7"/>
  <c r="P11" i="7"/>
  <c r="O2" i="7"/>
  <c r="O3" i="7"/>
  <c r="O4" i="7"/>
  <c r="O5" i="7"/>
  <c r="O6" i="7"/>
  <c r="O7" i="7"/>
  <c r="O8" i="7"/>
  <c r="O9" i="7"/>
  <c r="O10" i="7"/>
  <c r="O11" i="7"/>
  <c r="N2" i="7"/>
  <c r="N3" i="7"/>
  <c r="N4" i="7"/>
  <c r="N5" i="7"/>
  <c r="N6" i="7"/>
  <c r="N7" i="7"/>
  <c r="N8" i="7"/>
  <c r="N9" i="7"/>
  <c r="N10" i="7"/>
  <c r="N11" i="7"/>
  <c r="M2" i="7"/>
  <c r="M3" i="7"/>
  <c r="M4" i="7"/>
  <c r="M5" i="7"/>
  <c r="M6" i="7"/>
  <c r="M7" i="7"/>
  <c r="M8" i="7"/>
  <c r="M9" i="7"/>
  <c r="M10" i="7"/>
  <c r="M11" i="7"/>
  <c r="L2" i="7"/>
  <c r="L3" i="7"/>
  <c r="L4" i="7"/>
  <c r="L5" i="7"/>
  <c r="L6" i="7"/>
  <c r="L7" i="7"/>
  <c r="L8" i="7"/>
  <c r="L9" i="7"/>
  <c r="L10" i="7"/>
  <c r="L11" i="7"/>
  <c r="K2" i="7"/>
  <c r="K3" i="7"/>
  <c r="K4" i="7"/>
  <c r="K5" i="7"/>
  <c r="K6" i="7"/>
  <c r="K7" i="7"/>
  <c r="K8" i="7"/>
  <c r="K9" i="7"/>
  <c r="K10" i="7"/>
  <c r="K11" i="7"/>
  <c r="J2" i="7"/>
  <c r="J3" i="7"/>
  <c r="J4" i="7"/>
  <c r="J5" i="7"/>
  <c r="J6" i="7"/>
  <c r="J7" i="7"/>
  <c r="J8" i="7"/>
  <c r="J9" i="7"/>
  <c r="J10" i="7"/>
  <c r="J11" i="7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7607F5-4CE8-4C63-A517-05469A73D547}" keepAlive="1" name="Consulta - Entregas" description="Conexión a la consulta 'Entregas' en el libro." type="5" refreshedVersion="8" background="1" saveData="1">
    <dbPr connection="Provider=Microsoft.Mashup.OleDb.1;Data Source=$Workbook$;Location=Entregas;Extended Properties=&quot;&quot;" command="SELECT * FROM [Entregas]"/>
  </connection>
  <connection id="2" xr16:uid="{9837FC3C-1DE8-4955-99DE-5D74E57B8BF0}" keepAlive="1" name="Consulta - Lineas" description="Conexión a la consulta 'Lineas' en el libro." type="5" refreshedVersion="8" background="1" saveData="1">
    <dbPr connection="Provider=Microsoft.Mashup.OleDb.1;Data Source=$Workbook$;Location=Lineas;Extended Properties=&quot;&quot;" command="SELECT * FROM [Lineas]"/>
  </connection>
  <connection id="3" xr16:uid="{69FC4BB1-53EF-45DE-9D52-1ADB9964D0F3}" keepAlive="1" name="Consulta - MuestraEntregas" description="Conexión a la consulta 'MuestraEntregas' en el libro." type="5" refreshedVersion="8" background="1" saveData="1">
    <dbPr connection="Provider=Microsoft.Mashup.OleDb.1;Data Source=$Workbook$;Location=MuestraEntregas;Extended Properties=&quot;&quot;" command="SELECT * FROM [MuestraEntregas]"/>
  </connection>
  <connection id="4" xr16:uid="{9CAA5C67-C8BC-4229-A240-90FE44FD35BB}" keepAlive="1" name="Consulta - MuestraLineas" description="Conexión a la consulta 'MuestraLineas' en el libro." type="5" refreshedVersion="8" background="1" saveData="1">
    <dbPr connection="Provider=Microsoft.Mashup.OleDb.1;Data Source=$Workbook$;Location=MuestraLineas;Extended Properties=&quot;&quot;" command="SELECT * FROM [MuestraLineas]"/>
  </connection>
  <connection id="5" xr16:uid="{3175DC6E-BFCF-4667-BC5E-9C91D23226B5}" keepAlive="1" name="Consulta - MuestraPedidos" description="Conexión a la consulta 'MuestraPedidos' en el libro." type="5" refreshedVersion="8" background="1" saveData="1">
    <dbPr connection="Provider=Microsoft.Mashup.OleDb.1;Data Source=$Workbook$;Location=MuestraPedidos;Extended Properties=&quot;&quot;" command="SELECT * FROM [MuestraPedidos]"/>
  </connection>
  <connection id="6" xr16:uid="{E5989F5E-FAF9-4395-B4FA-BE4F858C92A3}" keepAlive="1" name="Consulta - Pedidos" description="Conexión a la consulta 'Pedidos' en el libro." type="5" refreshedVersion="0" background="1">
    <dbPr connection="Provider=Microsoft.Mashup.OleDb.1;Data Source=$Workbook$;Location=Pedidos;Extended Properties=&quot;&quot;" command="SELECT * FROM [Pedidos]"/>
  </connection>
  <connection id="7" xr16:uid="{82B55554-24F8-4BEF-AB68-AD668D168E09}" keepAlive="1" name="Consulta - PedidosRevision" description="Conexión a la consulta 'PedidosRevision' en el libro." type="5" refreshedVersion="0" background="1">
    <dbPr connection="Provider=Microsoft.Mashup.OleDb.1;Data Source=$Workbook$;Location=PedidosRevision;Extended Properties=&quot;&quot;" command="SELECT * FROM [PedidosRevision]"/>
  </connection>
  <connection id="8" xr16:uid="{2A05CD1A-8C9F-4CB4-8547-4FFC5EAA890E}" keepAlive="1" name="Consulta - Promesas" description="Conexión a la consulta 'Promesas' en el libro." type="5" refreshedVersion="8" background="1" saveData="1">
    <dbPr connection="Provider=Microsoft.Mashup.OleDb.1;Data Source=$Workbook$;Location=Promesas;Extended Properties=&quot;&quot;" command="SELECT * FROM [Promesas]"/>
  </connection>
</connections>
</file>

<file path=xl/sharedStrings.xml><?xml version="1.0" encoding="utf-8"?>
<sst xmlns="http://schemas.openxmlformats.org/spreadsheetml/2006/main" count="112" uniqueCount="102">
  <si>
    <t>SalesOrderID</t>
  </si>
  <si>
    <t>OrderDate</t>
  </si>
  <si>
    <t>SalesOrderDetailID</t>
  </si>
  <si>
    <t>ProductID</t>
  </si>
  <si>
    <t>OrderQty</t>
  </si>
  <si>
    <t>PromisedDeliveryDate</t>
  </si>
  <si>
    <t>EventID</t>
  </si>
  <si>
    <t>DeliveryDate</t>
  </si>
  <si>
    <t>DeliveredQty</t>
  </si>
  <si>
    <t>E-43659-10-1</t>
  </si>
  <si>
    <t>E-43659-1-1</t>
  </si>
  <si>
    <t>E-43659-11-1</t>
  </si>
  <si>
    <t>E-43659-12-1</t>
  </si>
  <si>
    <t>E-43659-2-1</t>
  </si>
  <si>
    <t>E-43659-3-1</t>
  </si>
  <si>
    <t>E-43659-4-1</t>
  </si>
  <si>
    <t>E-43659-5-1</t>
  </si>
  <si>
    <t>E-43659-6-1</t>
  </si>
  <si>
    <t>E-43659-7-1</t>
  </si>
  <si>
    <t>E-43659-8-1</t>
  </si>
  <si>
    <t>E-43659-9-1</t>
  </si>
  <si>
    <t>E-43660-13-1</t>
  </si>
  <si>
    <t>E-43660-14-1</t>
  </si>
  <si>
    <t>E-43661-15-1</t>
  </si>
  <si>
    <t>E-43661-16-1</t>
  </si>
  <si>
    <t>E-43661-17-1</t>
  </si>
  <si>
    <t>E-43661-18-1</t>
  </si>
  <si>
    <t>E-43661-19-1</t>
  </si>
  <si>
    <t>E-43661-20-1</t>
  </si>
  <si>
    <t>E-43661-21-1</t>
  </si>
  <si>
    <t>E-43661-22-1</t>
  </si>
  <si>
    <t>E-43661-23-1</t>
  </si>
  <si>
    <t>E-43661-24-1</t>
  </si>
  <si>
    <t>E-43661-25-1</t>
  </si>
  <si>
    <t>E-43661-26-1</t>
  </si>
  <si>
    <t>E-43661-27-1</t>
  </si>
  <si>
    <t>E-43661-28-1</t>
  </si>
  <si>
    <t>E-43665-61-1</t>
  </si>
  <si>
    <t>E-43665-62-1</t>
  </si>
  <si>
    <t>E-43665-63-1</t>
  </si>
  <si>
    <t>E-43665-64-1</t>
  </si>
  <si>
    <t>E-43665-65-1</t>
  </si>
  <si>
    <t>E-43665-66-1</t>
  </si>
  <si>
    <t>E-43665-67-1</t>
  </si>
  <si>
    <t>E-43665-68-1</t>
  </si>
  <si>
    <t>E-43665-69-1</t>
  </si>
  <si>
    <t>E-43665-70-1</t>
  </si>
  <si>
    <t>E-43666-71-1</t>
  </si>
  <si>
    <t>E-43666-72-1</t>
  </si>
  <si>
    <t>E-43666-73-1</t>
  </si>
  <si>
    <t>E-43666-74-1</t>
  </si>
  <si>
    <t>E-43666-75-1</t>
  </si>
  <si>
    <t>E-43666-76-1</t>
  </si>
  <si>
    <t>E-43861-635-1</t>
  </si>
  <si>
    <t>E-43861-636-1</t>
  </si>
  <si>
    <t>E-43861-637-1</t>
  </si>
  <si>
    <t>E-43861-638-1</t>
  </si>
  <si>
    <t>E-43861-639-1</t>
  </si>
  <si>
    <t>E-43861-640-1</t>
  </si>
  <si>
    <t>E-43861-641-1</t>
  </si>
  <si>
    <t>E-43861-643-1</t>
  </si>
  <si>
    <t>E-43861-644-1</t>
  </si>
  <si>
    <t>E-43861-645-1</t>
  </si>
  <si>
    <t>E-43861-646-1</t>
  </si>
  <si>
    <t>E-43861-647-1</t>
  </si>
  <si>
    <t>E-43861-648-1</t>
  </si>
  <si>
    <t>E-43861-649-1</t>
  </si>
  <si>
    <t>E-43861-650-1</t>
  </si>
  <si>
    <t>E-43861-651-1</t>
  </si>
  <si>
    <t>E-43861-652-1</t>
  </si>
  <si>
    <t>E-43861-653-1</t>
  </si>
  <si>
    <t>E-43861-654-1</t>
  </si>
  <si>
    <t>E-43861-655-1</t>
  </si>
  <si>
    <t>E-43861-656-1</t>
  </si>
  <si>
    <t>E-43861-657-1</t>
  </si>
  <si>
    <t>E-43861-658-1</t>
  </si>
  <si>
    <t>E-43861-659-1</t>
  </si>
  <si>
    <t>E-43861-660-1</t>
  </si>
  <si>
    <t>E-43861-661-1</t>
  </si>
  <si>
    <t>E-74696-120309-1</t>
  </si>
  <si>
    <t>CutoffDate</t>
  </si>
  <si>
    <t>HasQualityIssue</t>
  </si>
  <si>
    <t>EstadoSQL</t>
  </si>
  <si>
    <t>EntregadasSQL</t>
  </si>
  <si>
    <t>PendientesSQL</t>
  </si>
  <si>
    <t>OTIFSQL</t>
  </si>
  <si>
    <t>COMPLETO_A_TIEMPO</t>
  </si>
  <si>
    <t>COMPLETO_TARDE</t>
  </si>
  <si>
    <t>INFORMACION_EN_REVISION</t>
  </si>
  <si>
    <t>PENDIENTE_EN_PLAZO</t>
  </si>
  <si>
    <t>PENDIENTE_VENCIDO</t>
  </si>
  <si>
    <t>Pendientes</t>
  </si>
  <si>
    <t>Completa</t>
  </si>
  <si>
    <t>Ultima entrega</t>
  </si>
  <si>
    <t>Entregadas</t>
  </si>
  <si>
    <t>EntregadasExcel</t>
  </si>
  <si>
    <t>PendientesExcel</t>
  </si>
  <si>
    <t>CompletoExcel</t>
  </si>
  <si>
    <t>FechaCompletaExcel</t>
  </si>
  <si>
    <t>EstadoExcel</t>
  </si>
  <si>
    <t>OTIFExcel</t>
  </si>
  <si>
    <t>Comparacion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</si>
</sst>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1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F7C2F456-1F6C-4A2C-AAE6-2CD8EF935F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D8E1B7DA-4492-40DC-A089-91969247ACF2}" autoFormatId="16" applyNumberFormats="0" applyBorderFormats="0" applyFontFormats="0" applyPatternFormats="0" applyAlignmentFormats="0" applyWidthHeightFormats="0">
  <queryTableRefresh nextId="7">
    <queryTableFields count="6">
      <queryTableField id="1" name="EventID" tableColumnId="1"/>
      <queryTableField id="2" name="SalesOrderID" tableColumnId="2"/>
      <queryTableField id="3" name="SalesOrderDetailID" tableColumnId="3"/>
      <queryTableField id="4" name="ProductID" tableColumnId="4"/>
      <queryTableField id="5" name="DeliveryDate" tableColumnId="5"/>
      <queryTableField id="6" name="DeliveredQt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D2CFEC9F-CA7B-486B-9194-24E29C0B510F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SalesOrderID" tableColumnId="1"/>
      <queryTableField id="2" name="SalesOrderDetailID" tableColumnId="2"/>
      <queryTableField id="3" name="ProductID" tableColumnId="3"/>
      <queryTableField id="4" name="OrderQty" tableColumnId="4"/>
      <queryTableField id="5" name="CutoffDat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A2267743-80A7-4F0D-ACAA-A0FC1FC5396A}" autoFormatId="16" applyNumberFormats="0" applyBorderFormats="0" applyFontFormats="0" applyPatternFormats="0" applyAlignmentFormats="0" applyWidthHeightFormats="0">
  <queryTableRefresh nextId="17" unboundColumnsRight="7">
    <queryTableFields count="16">
      <queryTableField id="1" name="SalesOrderID" tableColumnId="1"/>
      <queryTableField id="2" name="OrderDate" tableColumnId="2"/>
      <queryTableField id="3" name="PromisedDeliveryDate" tableColumnId="3"/>
      <queryTableField id="4" name="CutoffDate" tableColumnId="4"/>
      <queryTableField id="5" name="HasQualityIssue" tableColumnId="5"/>
      <queryTableField id="6" name="EstadoSQL" tableColumnId="6"/>
      <queryTableField id="7" name="EntregadasSQL" tableColumnId="7"/>
      <queryTableField id="8" name="PendientesSQL" tableColumnId="8"/>
      <queryTableField id="9" name="OTIFSQL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6E38AF-9198-4EF7-AA39-3796853205EB}" name="tblEntregas" displayName="tblEntregas" ref="A1:F72" tableType="queryTable" totalsRowShown="0">
  <autoFilter ref="A1:F72" xr:uid="{696E38AF-9198-4EF7-AA39-3796853205EB}"/>
  <tableColumns count="6">
    <tableColumn id="1" xr3:uid="{C02F2FC9-52B7-46F9-95EB-DDACAEC90D56}" uniqueName="1" name="EventID" queryTableFieldId="1" dataDxfId="6"/>
    <tableColumn id="2" xr3:uid="{5335336C-1DC7-46AA-8A2B-586076DE612F}" uniqueName="2" name="SalesOrderID" queryTableFieldId="2"/>
    <tableColumn id="3" xr3:uid="{377CF054-9FC7-4011-8F44-BBE5980970FF}" uniqueName="3" name="SalesOrderDetailID" queryTableFieldId="3"/>
    <tableColumn id="4" xr3:uid="{8F3DA5AF-0129-4913-89E0-94B87D5EAC56}" uniqueName="4" name="ProductID" queryTableFieldId="4"/>
    <tableColumn id="5" xr3:uid="{D1407F21-3732-47A3-AF89-2D6BA30DB528}" uniqueName="5" name="DeliveryDate" queryTableFieldId="5" dataDxfId="5"/>
    <tableColumn id="6" xr3:uid="{F9A15B62-5463-4DF4-9B69-BAFFC8B1393A}" uniqueName="6" name="DeliveredQt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86C10E-9BD8-41C2-9161-995DCD71C8D0}" name="tblLineas" displayName="tblLineas" ref="A1:I80" tableType="queryTable" totalsRowShown="0">
  <autoFilter ref="A1:I80" xr:uid="{8986C10E-9BD8-41C2-9161-995DCD71C8D0}"/>
  <tableColumns count="9">
    <tableColumn id="1" xr3:uid="{E9B25B11-4CB9-46B3-B713-8922F01453FC}" uniqueName="1" name="SalesOrderID" queryTableFieldId="1"/>
    <tableColumn id="2" xr3:uid="{C2E27715-F317-467D-807E-07142D6B23C3}" uniqueName="2" name="SalesOrderDetailID" queryTableFieldId="2"/>
    <tableColumn id="3" xr3:uid="{1E12CE40-64F5-4120-BB17-5B8F57356FE8}" uniqueName="3" name="ProductID" queryTableFieldId="3"/>
    <tableColumn id="4" xr3:uid="{81096D93-784B-465F-81C4-7AA62A0AC87C}" uniqueName="4" name="OrderQty" queryTableFieldId="4"/>
    <tableColumn id="5" xr3:uid="{E203A396-C85A-438C-ACE9-72D8944985DA}" uniqueName="5" name="CutoffDate" queryTableFieldId="5" dataDxfId="4"/>
    <tableColumn id="6" xr3:uid="{5F2957FB-64C4-441A-A8DC-60968B1DC459}" uniqueName="6" name="Entregadas" queryTableFieldId="6" dataDxfId="3">
      <calculatedColumnFormula>SUMIFS(tblEntregas[DeliveredQty],tblEntregas[SalesOrderID],tblLineas[[#This Row],[SalesOrderID]],tblEntregas[SalesOrderDetailID],tblLineas[[#This Row],[SalesOrderDetailID]],tblEntregas[DeliveryDate],"&lt;="&amp;tblLineas[[#This Row],[CutoffDate]])</calculatedColumnFormula>
    </tableColumn>
    <tableColumn id="7" xr3:uid="{CB58AE13-ADE5-4EF0-A37D-E7895FFDFF9D}" uniqueName="7" name="Pendientes" queryTableFieldId="7" dataDxfId="2">
      <calculatedColumnFormula>tblLineas[[#This Row],[OrderQty]]-tblLineas[[#This Row],[Entregadas]]</calculatedColumnFormula>
    </tableColumn>
    <tableColumn id="8" xr3:uid="{368261DF-F332-4A93-8AD7-9A8E439DA4C7}" uniqueName="8" name="Completa" queryTableFieldId="8" dataDxfId="1">
      <calculatedColumnFormula>IF(tblLineas[[#This Row],[Entregadas]]=tblLineas[[#This Row],[OrderQty]],1,0)</calculatedColumnFormula>
    </tableColumn>
    <tableColumn id="9" xr3:uid="{CC1FB1EC-D8CC-491E-8802-F765CE3E4686}" uniqueName="9" name="Ultima entrega" queryTableFieldId="9" dataDxfId="0">
      <calculatedColumnFormula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38A8AC-2F90-45D9-83A4-00900D1D67D4}" name="tblPedidos" displayName="tblPedidos" ref="A1:P11" tableType="queryTable" totalsRowShown="0">
  <autoFilter ref="A1:P11" xr:uid="{0538A8AC-2F90-45D9-83A4-00900D1D67D4}"/>
  <tableColumns count="16">
    <tableColumn id="1" xr3:uid="{3D6FF510-ED0E-4BE5-BC04-C071BF4BB35B}" uniqueName="1" name="SalesOrderID" queryTableFieldId="1"/>
    <tableColumn id="2" xr3:uid="{8F4BBD1C-BBC6-4879-9366-56A41867D24D}" uniqueName="2" name="OrderDate" queryTableFieldId="2" dataDxfId="17"/>
    <tableColumn id="3" xr3:uid="{C162C6D8-F353-45ED-ADAE-91977C16407C}" uniqueName="3" name="PromisedDeliveryDate" queryTableFieldId="3" dataDxfId="16"/>
    <tableColumn id="4" xr3:uid="{50A08F6E-D2D2-43D2-9164-0BA351C59B46}" uniqueName="4" name="CutoffDate" queryTableFieldId="4" dataDxfId="15"/>
    <tableColumn id="5" xr3:uid="{2093BB9C-88C6-4FD0-8267-8044A4D3E360}" uniqueName="5" name="HasQualityIssue" queryTableFieldId="5"/>
    <tableColumn id="6" xr3:uid="{BA4C261E-1F45-46DD-AF8C-C929C2F83C2B}" uniqueName="6" name="EstadoSQL" queryTableFieldId="6" dataDxfId="14"/>
    <tableColumn id="7" xr3:uid="{1F886C5F-AC67-4E77-8B75-B95973069423}" uniqueName="7" name="EntregadasSQL" queryTableFieldId="7"/>
    <tableColumn id="8" xr3:uid="{0C19EBEE-C588-4119-BC7A-0AB65E1EC440}" uniqueName="8" name="PendientesSQL" queryTableFieldId="8"/>
    <tableColumn id="9" xr3:uid="{BC3A7BDE-ACCB-4694-9EAC-6A9D8D75A120}" uniqueName="9" name="OTIFSQL" queryTableFieldId="9"/>
    <tableColumn id="10" xr3:uid="{0D60E06E-B9AC-4881-9C99-F45402A818AC}" uniqueName="10" name="EntregadasExcel" queryTableFieldId="10" dataDxfId="13">
      <calculatedColumnFormula>SUMIFS(tblLineas[Entregadas],tblLineas[SalesOrderID],tblPedidos[[#This Row],[SalesOrderID]])</calculatedColumnFormula>
    </tableColumn>
    <tableColumn id="11" xr3:uid="{44DBABC2-C3F2-405B-BD59-808F0711AA65}" uniqueName="11" name="PendientesExcel" queryTableFieldId="11" dataDxfId="12">
      <calculatedColumnFormula>SUMIFS(tblLineas[Pendientes],tblLineas[SalesOrderID],tblPedidos[[#This Row],[SalesOrderID]])</calculatedColumnFormula>
    </tableColumn>
    <tableColumn id="12" xr3:uid="{47402C80-C8C1-4DB8-BE42-32DD80457D62}" uniqueName="12" name="CompletoExcel" queryTableFieldId="12" dataDxfId="11">
      <calculatedColumnFormula>IF(AND(COUNTIF(tblLineas[SalesOrderID],tblPedidos[[#This Row],[SalesOrderID]])&gt;0,SUMIFS(tblLineas[Completa],tblLineas[SalesOrderID],tblPedidos[[#This Row],[SalesOrderID]])=COUNTIF(tblLineas[SalesOrderID],tblPedidos[[#This Row],[SalesOrderID]])),1,0)</calculatedColumnFormula>
    </tableColumn>
    <tableColumn id="13" xr3:uid="{6AA2ADBE-3CC0-4A83-80BC-AACE23CEDEB5}" uniqueName="13" name="FechaCompletaExcel" queryTableFieldId="13" dataDxfId="10">
      <calculatedColumnFormula>IF(tblPedidos[[#This Row],[CompletoExcel]]=1,_xlfn.MAXIFS(tblLineas[Ultima entrega],tblLineas[SalesOrderID],tblPedidos[[#This Row],[SalesOrderID]]),"")</calculatedColumnFormula>
    </tableColumn>
    <tableColumn id="14" xr3:uid="{623829A6-F87A-4F36-A620-03BD0B8CD2A4}" uniqueName="14" name="EstadoExcel" queryTableFieldId="14" dataDxfId="9">
      <calculatedColumnFormula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calculatedColumnFormula>
    </tableColumn>
    <tableColumn id="15" xr3:uid="{B422E4BF-2D97-4A40-B050-6713F57CB0DB}" uniqueName="15" name="OTIFExcel" queryTableFieldId="15" dataDxfId="8">
      <calculatedColumnFormula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calculatedColumnFormula>
    </tableColumn>
    <tableColumn id="16" xr3:uid="{96C6D639-2127-426D-8C73-15177A998C60}" uniqueName="16" name="Comparacion" queryTableFieldId="16" dataDxfId="7">
      <calculatedColumnFormula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C92C-79B8-4C74-8BC7-00D802FD2551}">
  <dimension ref="A1:F72"/>
  <sheetViews>
    <sheetView topLeftCell="A19" workbookViewId="0">
      <selection activeCell="P40" sqref="P40"/>
    </sheetView>
  </sheetViews>
  <sheetFormatPr baseColWidth="10" defaultRowHeight="15"/>
  <cols>
    <col min="1" max="1" width="16.28515625" bestFit="1" customWidth="1"/>
    <col min="2" max="2" width="15.28515625" bestFit="1" customWidth="1"/>
    <col min="3" max="3" width="20.85546875" bestFit="1" customWidth="1"/>
    <col min="4" max="4" width="12.28515625" bestFit="1" customWidth="1"/>
    <col min="5" max="5" width="15.140625" bestFit="1" customWidth="1"/>
    <col min="6" max="6" width="15.28515625" bestFit="1" customWidth="1"/>
  </cols>
  <sheetData>
    <row r="1" spans="1:6">
      <c r="A1" t="s">
        <v>6</v>
      </c>
      <c r="B1" t="s">
        <v>0</v>
      </c>
      <c r="C1" t="s">
        <v>2</v>
      </c>
      <c r="D1" t="s">
        <v>3</v>
      </c>
      <c r="E1" t="s">
        <v>7</v>
      </c>
      <c r="F1" t="s">
        <v>8</v>
      </c>
    </row>
    <row r="2" spans="1:6">
      <c r="A2" t="s">
        <v>9</v>
      </c>
      <c r="B2">
        <v>43659</v>
      </c>
      <c r="C2">
        <v>10</v>
      </c>
      <c r="D2">
        <v>709</v>
      </c>
      <c r="E2" s="1">
        <v>44721</v>
      </c>
      <c r="F2">
        <v>6</v>
      </c>
    </row>
    <row r="3" spans="1:6">
      <c r="A3" t="s">
        <v>10</v>
      </c>
      <c r="B3">
        <v>43659</v>
      </c>
      <c r="C3">
        <v>1</v>
      </c>
      <c r="D3">
        <v>776</v>
      </c>
      <c r="E3" s="1">
        <v>44721</v>
      </c>
      <c r="F3">
        <v>1</v>
      </c>
    </row>
    <row r="4" spans="1:6">
      <c r="A4" t="s">
        <v>11</v>
      </c>
      <c r="B4">
        <v>43659</v>
      </c>
      <c r="C4">
        <v>11</v>
      </c>
      <c r="D4">
        <v>712</v>
      </c>
      <c r="E4" s="1">
        <v>44721</v>
      </c>
      <c r="F4">
        <v>2</v>
      </c>
    </row>
    <row r="5" spans="1:6">
      <c r="A5" t="s">
        <v>12</v>
      </c>
      <c r="B5">
        <v>43659</v>
      </c>
      <c r="C5">
        <v>12</v>
      </c>
      <c r="D5">
        <v>711</v>
      </c>
      <c r="E5" s="1">
        <v>44721</v>
      </c>
      <c r="F5">
        <v>4</v>
      </c>
    </row>
    <row r="6" spans="1:6">
      <c r="A6" t="s">
        <v>13</v>
      </c>
      <c r="B6">
        <v>43659</v>
      </c>
      <c r="C6">
        <v>2</v>
      </c>
      <c r="D6">
        <v>777</v>
      </c>
      <c r="E6" s="1">
        <v>44721</v>
      </c>
      <c r="F6">
        <v>3</v>
      </c>
    </row>
    <row r="7" spans="1:6">
      <c r="A7" t="s">
        <v>14</v>
      </c>
      <c r="B7">
        <v>43659</v>
      </c>
      <c r="C7">
        <v>3</v>
      </c>
      <c r="D7">
        <v>778</v>
      </c>
      <c r="E7" s="1">
        <v>44721</v>
      </c>
      <c r="F7">
        <v>1</v>
      </c>
    </row>
    <row r="8" spans="1:6">
      <c r="A8" t="s">
        <v>15</v>
      </c>
      <c r="B8">
        <v>43659</v>
      </c>
      <c r="C8">
        <v>4</v>
      </c>
      <c r="D8">
        <v>771</v>
      </c>
      <c r="E8" s="1">
        <v>44721</v>
      </c>
      <c r="F8">
        <v>1</v>
      </c>
    </row>
    <row r="9" spans="1:6">
      <c r="A9" t="s">
        <v>16</v>
      </c>
      <c r="B9">
        <v>43659</v>
      </c>
      <c r="C9">
        <v>5</v>
      </c>
      <c r="D9">
        <v>772</v>
      </c>
      <c r="E9" s="1">
        <v>44721</v>
      </c>
      <c r="F9">
        <v>1</v>
      </c>
    </row>
    <row r="10" spans="1:6">
      <c r="A10" t="s">
        <v>17</v>
      </c>
      <c r="B10">
        <v>43659</v>
      </c>
      <c r="C10">
        <v>6</v>
      </c>
      <c r="D10">
        <v>773</v>
      </c>
      <c r="E10" s="1">
        <v>44721</v>
      </c>
      <c r="F10">
        <v>2</v>
      </c>
    </row>
    <row r="11" spans="1:6">
      <c r="A11" t="s">
        <v>18</v>
      </c>
      <c r="B11">
        <v>43659</v>
      </c>
      <c r="C11">
        <v>7</v>
      </c>
      <c r="D11">
        <v>774</v>
      </c>
      <c r="E11" s="1">
        <v>44721</v>
      </c>
      <c r="F11">
        <v>1</v>
      </c>
    </row>
    <row r="12" spans="1:6">
      <c r="A12" t="s">
        <v>19</v>
      </c>
      <c r="B12">
        <v>43659</v>
      </c>
      <c r="C12">
        <v>8</v>
      </c>
      <c r="D12">
        <v>714</v>
      </c>
      <c r="E12" s="1">
        <v>44721</v>
      </c>
      <c r="F12">
        <v>3</v>
      </c>
    </row>
    <row r="13" spans="1:6">
      <c r="A13" t="s">
        <v>20</v>
      </c>
      <c r="B13">
        <v>43659</v>
      </c>
      <c r="C13">
        <v>9</v>
      </c>
      <c r="D13">
        <v>716</v>
      </c>
      <c r="E13" s="1">
        <v>44721</v>
      </c>
      <c r="F13">
        <v>1</v>
      </c>
    </row>
    <row r="14" spans="1:6">
      <c r="A14" t="s">
        <v>21</v>
      </c>
      <c r="B14">
        <v>43660</v>
      </c>
      <c r="C14">
        <v>13</v>
      </c>
      <c r="D14">
        <v>762</v>
      </c>
      <c r="E14" s="1">
        <v>44722</v>
      </c>
      <c r="F14">
        <v>1</v>
      </c>
    </row>
    <row r="15" spans="1:6">
      <c r="A15" t="s">
        <v>22</v>
      </c>
      <c r="B15">
        <v>43660</v>
      </c>
      <c r="C15">
        <v>14</v>
      </c>
      <c r="D15">
        <v>758</v>
      </c>
      <c r="E15" s="1">
        <v>44722</v>
      </c>
      <c r="F15">
        <v>1</v>
      </c>
    </row>
    <row r="16" spans="1:6">
      <c r="A16" t="s">
        <v>23</v>
      </c>
      <c r="B16">
        <v>43661</v>
      </c>
      <c r="C16">
        <v>15</v>
      </c>
      <c r="D16">
        <v>745</v>
      </c>
      <c r="E16" s="1">
        <v>44732</v>
      </c>
      <c r="F16">
        <v>1</v>
      </c>
    </row>
    <row r="17" spans="1:6">
      <c r="A17" t="s">
        <v>24</v>
      </c>
      <c r="B17">
        <v>43661</v>
      </c>
      <c r="C17">
        <v>16</v>
      </c>
      <c r="D17">
        <v>743</v>
      </c>
      <c r="E17" s="1">
        <v>44732</v>
      </c>
      <c r="F17">
        <v>1</v>
      </c>
    </row>
    <row r="18" spans="1:6">
      <c r="A18" t="s">
        <v>25</v>
      </c>
      <c r="B18">
        <v>43661</v>
      </c>
      <c r="C18">
        <v>17</v>
      </c>
      <c r="D18">
        <v>747</v>
      </c>
      <c r="E18" s="1">
        <v>44732</v>
      </c>
      <c r="F18">
        <v>2</v>
      </c>
    </row>
    <row r="19" spans="1:6">
      <c r="A19" t="s">
        <v>26</v>
      </c>
      <c r="B19">
        <v>43661</v>
      </c>
      <c r="C19">
        <v>18</v>
      </c>
      <c r="D19">
        <v>712</v>
      </c>
      <c r="E19" s="1">
        <v>44732</v>
      </c>
      <c r="F19">
        <v>4</v>
      </c>
    </row>
    <row r="20" spans="1:6">
      <c r="A20" t="s">
        <v>27</v>
      </c>
      <c r="B20">
        <v>43661</v>
      </c>
      <c r="C20">
        <v>19</v>
      </c>
      <c r="D20">
        <v>715</v>
      </c>
      <c r="E20" s="1">
        <v>44732</v>
      </c>
      <c r="F20">
        <v>4</v>
      </c>
    </row>
    <row r="21" spans="1:6">
      <c r="A21" t="s">
        <v>28</v>
      </c>
      <c r="B21">
        <v>43661</v>
      </c>
      <c r="C21">
        <v>20</v>
      </c>
      <c r="D21">
        <v>742</v>
      </c>
      <c r="E21" s="1">
        <v>44732</v>
      </c>
      <c r="F21">
        <v>2</v>
      </c>
    </row>
    <row r="22" spans="1:6">
      <c r="A22" t="s">
        <v>29</v>
      </c>
      <c r="B22">
        <v>43661</v>
      </c>
      <c r="C22">
        <v>21</v>
      </c>
      <c r="D22">
        <v>775</v>
      </c>
      <c r="E22" s="1">
        <v>44732</v>
      </c>
      <c r="F22">
        <v>3</v>
      </c>
    </row>
    <row r="23" spans="1:6">
      <c r="A23" t="s">
        <v>30</v>
      </c>
      <c r="B23">
        <v>43661</v>
      </c>
      <c r="C23">
        <v>22</v>
      </c>
      <c r="D23">
        <v>778</v>
      </c>
      <c r="E23" s="1">
        <v>44732</v>
      </c>
      <c r="F23">
        <v>2</v>
      </c>
    </row>
    <row r="24" spans="1:6">
      <c r="A24" t="s">
        <v>31</v>
      </c>
      <c r="B24">
        <v>43661</v>
      </c>
      <c r="C24">
        <v>23</v>
      </c>
      <c r="D24">
        <v>711</v>
      </c>
      <c r="E24" s="1">
        <v>44732</v>
      </c>
      <c r="F24">
        <v>2</v>
      </c>
    </row>
    <row r="25" spans="1:6">
      <c r="A25" t="s">
        <v>32</v>
      </c>
      <c r="B25">
        <v>43661</v>
      </c>
      <c r="C25">
        <v>24</v>
      </c>
      <c r="D25">
        <v>741</v>
      </c>
      <c r="E25" s="1">
        <v>44732</v>
      </c>
      <c r="F25">
        <v>2</v>
      </c>
    </row>
    <row r="26" spans="1:6">
      <c r="A26" t="s">
        <v>33</v>
      </c>
      <c r="B26">
        <v>43661</v>
      </c>
      <c r="C26">
        <v>25</v>
      </c>
      <c r="D26">
        <v>776</v>
      </c>
      <c r="E26" s="1">
        <v>44732</v>
      </c>
      <c r="F26">
        <v>4</v>
      </c>
    </row>
    <row r="27" spans="1:6">
      <c r="A27" t="s">
        <v>34</v>
      </c>
      <c r="B27">
        <v>43661</v>
      </c>
      <c r="C27">
        <v>26</v>
      </c>
      <c r="D27">
        <v>773</v>
      </c>
      <c r="E27" s="1">
        <v>44732</v>
      </c>
      <c r="F27">
        <v>2</v>
      </c>
    </row>
    <row r="28" spans="1:6">
      <c r="A28" t="s">
        <v>35</v>
      </c>
      <c r="B28">
        <v>43661</v>
      </c>
      <c r="C28">
        <v>27</v>
      </c>
      <c r="D28">
        <v>716</v>
      </c>
      <c r="E28" s="1">
        <v>44732</v>
      </c>
      <c r="F28">
        <v>2</v>
      </c>
    </row>
    <row r="29" spans="1:6">
      <c r="A29" t="s">
        <v>36</v>
      </c>
      <c r="B29">
        <v>43661</v>
      </c>
      <c r="C29">
        <v>28</v>
      </c>
      <c r="D29">
        <v>777</v>
      </c>
      <c r="E29" s="1">
        <v>44732</v>
      </c>
      <c r="F29">
        <v>2</v>
      </c>
    </row>
    <row r="30" spans="1:6">
      <c r="A30" t="s">
        <v>37</v>
      </c>
      <c r="B30">
        <v>43665</v>
      </c>
      <c r="C30">
        <v>61</v>
      </c>
      <c r="D30">
        <v>711</v>
      </c>
      <c r="E30" s="1">
        <v>44730</v>
      </c>
      <c r="F30">
        <v>2</v>
      </c>
    </row>
    <row r="31" spans="1:6">
      <c r="A31" t="s">
        <v>38</v>
      </c>
      <c r="B31">
        <v>43665</v>
      </c>
      <c r="C31">
        <v>62</v>
      </c>
      <c r="D31">
        <v>773</v>
      </c>
      <c r="E31" s="1">
        <v>44730</v>
      </c>
      <c r="F31">
        <v>1</v>
      </c>
    </row>
    <row r="32" spans="1:6">
      <c r="A32" t="s">
        <v>39</v>
      </c>
      <c r="B32">
        <v>43665</v>
      </c>
      <c r="C32">
        <v>63</v>
      </c>
      <c r="D32">
        <v>707</v>
      </c>
      <c r="E32" s="1">
        <v>44730</v>
      </c>
      <c r="F32">
        <v>1</v>
      </c>
    </row>
    <row r="33" spans="1:6">
      <c r="A33" t="s">
        <v>40</v>
      </c>
      <c r="B33">
        <v>43665</v>
      </c>
      <c r="C33">
        <v>64</v>
      </c>
      <c r="D33">
        <v>715</v>
      </c>
      <c r="E33" s="1">
        <v>44730</v>
      </c>
      <c r="F33">
        <v>2</v>
      </c>
    </row>
    <row r="34" spans="1:6">
      <c r="A34" t="s">
        <v>41</v>
      </c>
      <c r="B34">
        <v>43665</v>
      </c>
      <c r="C34">
        <v>65</v>
      </c>
      <c r="D34">
        <v>777</v>
      </c>
      <c r="E34" s="1">
        <v>44730</v>
      </c>
      <c r="F34">
        <v>2</v>
      </c>
    </row>
    <row r="35" spans="1:6">
      <c r="A35" t="s">
        <v>42</v>
      </c>
      <c r="B35">
        <v>43665</v>
      </c>
      <c r="C35">
        <v>66</v>
      </c>
      <c r="D35">
        <v>712</v>
      </c>
      <c r="E35" s="1">
        <v>44730</v>
      </c>
      <c r="F35">
        <v>2</v>
      </c>
    </row>
    <row r="36" spans="1:6">
      <c r="A36" t="s">
        <v>43</v>
      </c>
      <c r="B36">
        <v>43665</v>
      </c>
      <c r="C36">
        <v>67</v>
      </c>
      <c r="D36">
        <v>775</v>
      </c>
      <c r="E36" s="1">
        <v>44730</v>
      </c>
      <c r="F36">
        <v>2</v>
      </c>
    </row>
    <row r="37" spans="1:6">
      <c r="A37" t="s">
        <v>44</v>
      </c>
      <c r="B37">
        <v>43665</v>
      </c>
      <c r="C37">
        <v>68</v>
      </c>
      <c r="D37">
        <v>778</v>
      </c>
      <c r="E37" s="1">
        <v>44730</v>
      </c>
      <c r="F37">
        <v>1</v>
      </c>
    </row>
    <row r="38" spans="1:6">
      <c r="A38" t="s">
        <v>45</v>
      </c>
      <c r="B38">
        <v>43665</v>
      </c>
      <c r="C38">
        <v>69</v>
      </c>
      <c r="D38">
        <v>709</v>
      </c>
      <c r="E38" s="1">
        <v>44730</v>
      </c>
      <c r="F38">
        <v>6</v>
      </c>
    </row>
    <row r="39" spans="1:6">
      <c r="A39" t="s">
        <v>46</v>
      </c>
      <c r="B39">
        <v>43665</v>
      </c>
      <c r="C39">
        <v>70</v>
      </c>
      <c r="D39">
        <v>776</v>
      </c>
      <c r="E39" s="1">
        <v>44730</v>
      </c>
      <c r="F39">
        <v>1</v>
      </c>
    </row>
    <row r="40" spans="1:6">
      <c r="A40" t="s">
        <v>47</v>
      </c>
      <c r="B40">
        <v>43666</v>
      </c>
      <c r="C40">
        <v>71</v>
      </c>
      <c r="D40">
        <v>764</v>
      </c>
      <c r="E40" s="1">
        <v>44729</v>
      </c>
      <c r="F40">
        <v>1</v>
      </c>
    </row>
    <row r="41" spans="1:6">
      <c r="A41" t="s">
        <v>48</v>
      </c>
      <c r="B41">
        <v>43666</v>
      </c>
      <c r="C41">
        <v>72</v>
      </c>
      <c r="D41">
        <v>753</v>
      </c>
      <c r="E41" s="1">
        <v>44729</v>
      </c>
      <c r="F41">
        <v>1</v>
      </c>
    </row>
    <row r="42" spans="1:6">
      <c r="A42" t="s">
        <v>49</v>
      </c>
      <c r="B42">
        <v>43666</v>
      </c>
      <c r="C42">
        <v>73</v>
      </c>
      <c r="D42">
        <v>732</v>
      </c>
      <c r="E42" s="1">
        <v>44729</v>
      </c>
      <c r="F42">
        <v>1</v>
      </c>
    </row>
    <row r="43" spans="1:6">
      <c r="A43" t="s">
        <v>50</v>
      </c>
      <c r="B43">
        <v>43666</v>
      </c>
      <c r="C43">
        <v>74</v>
      </c>
      <c r="D43">
        <v>756</v>
      </c>
      <c r="E43" s="1">
        <v>44729</v>
      </c>
      <c r="F43">
        <v>1</v>
      </c>
    </row>
    <row r="44" spans="1:6">
      <c r="A44" t="s">
        <v>51</v>
      </c>
      <c r="B44">
        <v>43666</v>
      </c>
      <c r="C44">
        <v>75</v>
      </c>
      <c r="D44">
        <v>768</v>
      </c>
      <c r="E44" s="1">
        <v>44729</v>
      </c>
      <c r="F44">
        <v>2</v>
      </c>
    </row>
    <row r="45" spans="1:6">
      <c r="A45" t="s">
        <v>52</v>
      </c>
      <c r="B45">
        <v>43666</v>
      </c>
      <c r="C45">
        <v>76</v>
      </c>
      <c r="D45">
        <v>766</v>
      </c>
      <c r="E45" s="1">
        <v>44729</v>
      </c>
      <c r="F45">
        <v>1</v>
      </c>
    </row>
    <row r="46" spans="1:6">
      <c r="A46" t="s">
        <v>53</v>
      </c>
      <c r="B46">
        <v>43861</v>
      </c>
      <c r="C46">
        <v>635</v>
      </c>
      <c r="D46">
        <v>732</v>
      </c>
      <c r="E46" s="1">
        <v>44753</v>
      </c>
      <c r="F46">
        <v>1</v>
      </c>
    </row>
    <row r="47" spans="1:6">
      <c r="A47" t="s">
        <v>54</v>
      </c>
      <c r="B47">
        <v>43861</v>
      </c>
      <c r="C47">
        <v>636</v>
      </c>
      <c r="D47">
        <v>764</v>
      </c>
      <c r="E47" s="1">
        <v>44753</v>
      </c>
      <c r="F47">
        <v>3</v>
      </c>
    </row>
    <row r="48" spans="1:6">
      <c r="A48" t="s">
        <v>55</v>
      </c>
      <c r="B48">
        <v>43861</v>
      </c>
      <c r="C48">
        <v>637</v>
      </c>
      <c r="D48">
        <v>770</v>
      </c>
      <c r="E48" s="1">
        <v>44753</v>
      </c>
      <c r="F48">
        <v>5</v>
      </c>
    </row>
    <row r="49" spans="1:6">
      <c r="A49" t="s">
        <v>56</v>
      </c>
      <c r="B49">
        <v>43861</v>
      </c>
      <c r="C49">
        <v>638</v>
      </c>
      <c r="D49">
        <v>768</v>
      </c>
      <c r="E49" s="1">
        <v>44753</v>
      </c>
      <c r="F49">
        <v>2</v>
      </c>
    </row>
    <row r="50" spans="1:6">
      <c r="A50" t="s">
        <v>57</v>
      </c>
      <c r="B50">
        <v>43861</v>
      </c>
      <c r="C50">
        <v>639</v>
      </c>
      <c r="D50">
        <v>725</v>
      </c>
      <c r="E50" s="1">
        <v>44753</v>
      </c>
      <c r="F50">
        <v>1</v>
      </c>
    </row>
    <row r="51" spans="1:6">
      <c r="A51" t="s">
        <v>58</v>
      </c>
      <c r="B51">
        <v>43861</v>
      </c>
      <c r="C51">
        <v>640</v>
      </c>
      <c r="D51">
        <v>715</v>
      </c>
      <c r="E51" s="1">
        <v>44753</v>
      </c>
      <c r="F51">
        <v>9</v>
      </c>
    </row>
    <row r="52" spans="1:6">
      <c r="A52" t="s">
        <v>59</v>
      </c>
      <c r="B52">
        <v>43861</v>
      </c>
      <c r="C52">
        <v>641</v>
      </c>
      <c r="D52">
        <v>765</v>
      </c>
      <c r="E52" s="1">
        <v>44753</v>
      </c>
      <c r="F52">
        <v>4</v>
      </c>
    </row>
    <row r="53" spans="1:6">
      <c r="A53" t="s">
        <v>60</v>
      </c>
      <c r="B53">
        <v>43861</v>
      </c>
      <c r="C53">
        <v>643</v>
      </c>
      <c r="D53">
        <v>733</v>
      </c>
      <c r="E53" s="1">
        <v>44753</v>
      </c>
      <c r="F53">
        <v>2</v>
      </c>
    </row>
    <row r="54" spans="1:6">
      <c r="A54" t="s">
        <v>61</v>
      </c>
      <c r="B54">
        <v>43861</v>
      </c>
      <c r="C54">
        <v>644</v>
      </c>
      <c r="D54">
        <v>730</v>
      </c>
      <c r="E54" s="1">
        <v>44753</v>
      </c>
      <c r="F54">
        <v>2</v>
      </c>
    </row>
    <row r="55" spans="1:6">
      <c r="A55" t="s">
        <v>62</v>
      </c>
      <c r="B55">
        <v>43861</v>
      </c>
      <c r="C55">
        <v>645</v>
      </c>
      <c r="D55">
        <v>766</v>
      </c>
      <c r="E55" s="1">
        <v>44753</v>
      </c>
      <c r="F55">
        <v>2</v>
      </c>
    </row>
    <row r="56" spans="1:6">
      <c r="A56" t="s">
        <v>63</v>
      </c>
      <c r="B56">
        <v>43861</v>
      </c>
      <c r="C56">
        <v>646</v>
      </c>
      <c r="D56">
        <v>711</v>
      </c>
      <c r="E56" s="1">
        <v>44753</v>
      </c>
      <c r="F56">
        <v>4</v>
      </c>
    </row>
    <row r="57" spans="1:6">
      <c r="A57" t="s">
        <v>64</v>
      </c>
      <c r="B57">
        <v>43861</v>
      </c>
      <c r="C57">
        <v>647</v>
      </c>
      <c r="D57">
        <v>754</v>
      </c>
      <c r="E57" s="1">
        <v>44753</v>
      </c>
      <c r="F57">
        <v>3</v>
      </c>
    </row>
    <row r="58" spans="1:6">
      <c r="A58" t="s">
        <v>65</v>
      </c>
      <c r="B58">
        <v>43861</v>
      </c>
      <c r="C58">
        <v>648</v>
      </c>
      <c r="D58">
        <v>756</v>
      </c>
      <c r="E58" s="1">
        <v>44753</v>
      </c>
      <c r="F58">
        <v>2</v>
      </c>
    </row>
    <row r="59" spans="1:6">
      <c r="A59" t="s">
        <v>66</v>
      </c>
      <c r="B59">
        <v>43861</v>
      </c>
      <c r="C59">
        <v>649</v>
      </c>
      <c r="D59">
        <v>729</v>
      </c>
      <c r="E59" s="1">
        <v>44753</v>
      </c>
      <c r="F59">
        <v>2</v>
      </c>
    </row>
    <row r="60" spans="1:6">
      <c r="A60" t="s">
        <v>67</v>
      </c>
      <c r="B60">
        <v>43861</v>
      </c>
      <c r="C60">
        <v>650</v>
      </c>
      <c r="D60">
        <v>760</v>
      </c>
      <c r="E60" s="1">
        <v>44753</v>
      </c>
      <c r="F60">
        <v>4</v>
      </c>
    </row>
    <row r="61" spans="1:6">
      <c r="A61" t="s">
        <v>68</v>
      </c>
      <c r="B61">
        <v>43861</v>
      </c>
      <c r="C61">
        <v>651</v>
      </c>
      <c r="D61">
        <v>755</v>
      </c>
      <c r="E61" s="1">
        <v>44753</v>
      </c>
      <c r="F61">
        <v>2</v>
      </c>
    </row>
    <row r="62" spans="1:6">
      <c r="A62" t="s">
        <v>69</v>
      </c>
      <c r="B62">
        <v>43861</v>
      </c>
      <c r="C62">
        <v>652</v>
      </c>
      <c r="D62">
        <v>716</v>
      </c>
      <c r="E62" s="1">
        <v>44753</v>
      </c>
      <c r="F62">
        <v>6</v>
      </c>
    </row>
    <row r="63" spans="1:6">
      <c r="A63" t="s">
        <v>70</v>
      </c>
      <c r="B63">
        <v>43861</v>
      </c>
      <c r="C63">
        <v>653</v>
      </c>
      <c r="D63">
        <v>763</v>
      </c>
      <c r="E63" s="1">
        <v>44753</v>
      </c>
      <c r="F63">
        <v>2</v>
      </c>
    </row>
    <row r="64" spans="1:6">
      <c r="A64" t="s">
        <v>71</v>
      </c>
      <c r="B64">
        <v>43861</v>
      </c>
      <c r="C64">
        <v>654</v>
      </c>
      <c r="D64">
        <v>758</v>
      </c>
      <c r="E64" s="1">
        <v>44753</v>
      </c>
      <c r="F64">
        <v>2</v>
      </c>
    </row>
    <row r="65" spans="1:6">
      <c r="A65" t="s">
        <v>72</v>
      </c>
      <c r="B65">
        <v>43861</v>
      </c>
      <c r="C65">
        <v>655</v>
      </c>
      <c r="D65">
        <v>712</v>
      </c>
      <c r="E65" s="1">
        <v>44753</v>
      </c>
      <c r="F65">
        <v>9</v>
      </c>
    </row>
    <row r="66" spans="1:6">
      <c r="A66" t="s">
        <v>73</v>
      </c>
      <c r="B66">
        <v>43861</v>
      </c>
      <c r="C66">
        <v>656</v>
      </c>
      <c r="D66">
        <v>761</v>
      </c>
      <c r="E66" s="1">
        <v>44753</v>
      </c>
      <c r="F66">
        <v>2</v>
      </c>
    </row>
    <row r="67" spans="1:6">
      <c r="A67" t="s">
        <v>74</v>
      </c>
      <c r="B67">
        <v>43861</v>
      </c>
      <c r="C67">
        <v>657</v>
      </c>
      <c r="D67">
        <v>707</v>
      </c>
      <c r="E67" s="1">
        <v>44753</v>
      </c>
      <c r="F67">
        <v>4</v>
      </c>
    </row>
    <row r="68" spans="1:6">
      <c r="A68" t="s">
        <v>75</v>
      </c>
      <c r="B68">
        <v>43861</v>
      </c>
      <c r="C68">
        <v>658</v>
      </c>
      <c r="D68">
        <v>738</v>
      </c>
      <c r="E68" s="1">
        <v>44753</v>
      </c>
      <c r="F68">
        <v>1</v>
      </c>
    </row>
    <row r="69" spans="1:6">
      <c r="A69" t="s">
        <v>76</v>
      </c>
      <c r="B69">
        <v>43861</v>
      </c>
      <c r="C69">
        <v>659</v>
      </c>
      <c r="D69">
        <v>714</v>
      </c>
      <c r="E69" s="1">
        <v>44753</v>
      </c>
      <c r="F69">
        <v>3</v>
      </c>
    </row>
    <row r="70" spans="1:6">
      <c r="A70" t="s">
        <v>77</v>
      </c>
      <c r="B70">
        <v>43861</v>
      </c>
      <c r="C70">
        <v>660</v>
      </c>
      <c r="D70">
        <v>722</v>
      </c>
      <c r="E70" s="1">
        <v>44753</v>
      </c>
      <c r="F70">
        <v>2</v>
      </c>
    </row>
    <row r="71" spans="1:6">
      <c r="A71" t="s">
        <v>78</v>
      </c>
      <c r="B71">
        <v>43861</v>
      </c>
      <c r="C71">
        <v>661</v>
      </c>
      <c r="D71">
        <v>708</v>
      </c>
      <c r="E71" s="1">
        <v>44753</v>
      </c>
      <c r="F71">
        <v>3</v>
      </c>
    </row>
    <row r="72" spans="1:6">
      <c r="A72" t="s">
        <v>79</v>
      </c>
      <c r="B72">
        <v>74696</v>
      </c>
      <c r="C72">
        <v>120309</v>
      </c>
      <c r="D72">
        <v>923</v>
      </c>
      <c r="E72" s="1">
        <v>45834</v>
      </c>
      <c r="F7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C8FE-54F3-4ED8-ABC9-1DE708133960}">
  <dimension ref="A1:I80"/>
  <sheetViews>
    <sheetView topLeftCell="A27" workbookViewId="0">
      <selection activeCell="K6" sqref="K6"/>
    </sheetView>
  </sheetViews>
  <sheetFormatPr baseColWidth="10" defaultRowHeight="15"/>
  <cols>
    <col min="1" max="1" width="15.28515625" bestFit="1" customWidth="1"/>
    <col min="2" max="2" width="20.85546875" bestFit="1" customWidth="1"/>
    <col min="3" max="3" width="12.28515625" bestFit="1" customWidth="1"/>
    <col min="4" max="4" width="11.5703125" bestFit="1" customWidth="1"/>
    <col min="5" max="5" width="13.42578125" bestFit="1" customWidth="1"/>
    <col min="9" max="9" width="17.7109375" customWidth="1"/>
  </cols>
  <sheetData>
    <row r="1" spans="1:9">
      <c r="A1" t="s">
        <v>0</v>
      </c>
      <c r="B1" t="s">
        <v>2</v>
      </c>
      <c r="C1" t="s">
        <v>3</v>
      </c>
      <c r="D1" t="s">
        <v>4</v>
      </c>
      <c r="E1" t="s">
        <v>80</v>
      </c>
      <c r="F1" t="s">
        <v>94</v>
      </c>
      <c r="G1" t="s">
        <v>91</v>
      </c>
      <c r="H1" t="s">
        <v>92</v>
      </c>
      <c r="I1" t="s">
        <v>93</v>
      </c>
    </row>
    <row r="2" spans="1:9">
      <c r="A2">
        <v>43659</v>
      </c>
      <c r="B2">
        <v>1</v>
      </c>
      <c r="C2">
        <v>776</v>
      </c>
      <c r="D2">
        <v>1</v>
      </c>
      <c r="E2" s="1">
        <v>45837</v>
      </c>
      <c r="F2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2">
        <f>tblLineas[[#This Row],[OrderQty]]-tblLineas[[#This Row],[Entregadas]]</f>
        <v>0</v>
      </c>
      <c r="H2">
        <f>IF(tblLineas[[#This Row],[Entregadas]]=tblLineas[[#This Row],[OrderQty]],1,0)</f>
        <v>1</v>
      </c>
      <c r="I2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3" spans="1:9">
      <c r="A3">
        <v>43659</v>
      </c>
      <c r="B3">
        <v>2</v>
      </c>
      <c r="C3">
        <v>777</v>
      </c>
      <c r="D3">
        <v>3</v>
      </c>
      <c r="E3" s="1">
        <v>45837</v>
      </c>
      <c r="F3">
        <f>SUMIFS(tblEntregas[DeliveredQty],tblEntregas[SalesOrderID],tblLineas[[#This Row],[SalesOrderID]],tblEntregas[SalesOrderDetailID],tblLineas[[#This Row],[SalesOrderDetailID]],tblEntregas[DeliveryDate],"&lt;="&amp;tblLineas[[#This Row],[CutoffDate]])</f>
        <v>3</v>
      </c>
      <c r="G3">
        <f>tblLineas[[#This Row],[OrderQty]]-tblLineas[[#This Row],[Entregadas]]</f>
        <v>0</v>
      </c>
      <c r="H3">
        <f>IF(tblLineas[[#This Row],[Entregadas]]=tblLineas[[#This Row],[OrderQty]],1,0)</f>
        <v>1</v>
      </c>
      <c r="I3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4" spans="1:9">
      <c r="A4">
        <v>43659</v>
      </c>
      <c r="B4">
        <v>3</v>
      </c>
      <c r="C4">
        <v>778</v>
      </c>
      <c r="D4">
        <v>1</v>
      </c>
      <c r="E4" s="1">
        <v>45837</v>
      </c>
      <c r="F4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4">
        <f>tblLineas[[#This Row],[OrderQty]]-tblLineas[[#This Row],[Entregadas]]</f>
        <v>0</v>
      </c>
      <c r="H4">
        <f>IF(tblLineas[[#This Row],[Entregadas]]=tblLineas[[#This Row],[OrderQty]],1,0)</f>
        <v>1</v>
      </c>
      <c r="I4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5" spans="1:9">
      <c r="A5">
        <v>43659</v>
      </c>
      <c r="B5">
        <v>4</v>
      </c>
      <c r="C5">
        <v>771</v>
      </c>
      <c r="D5">
        <v>1</v>
      </c>
      <c r="E5" s="1">
        <v>45837</v>
      </c>
      <c r="F5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5">
        <f>tblLineas[[#This Row],[OrderQty]]-tblLineas[[#This Row],[Entregadas]]</f>
        <v>0</v>
      </c>
      <c r="H5">
        <f>IF(tblLineas[[#This Row],[Entregadas]]=tblLineas[[#This Row],[OrderQty]],1,0)</f>
        <v>1</v>
      </c>
      <c r="I5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6" spans="1:9">
      <c r="A6">
        <v>43659</v>
      </c>
      <c r="B6">
        <v>5</v>
      </c>
      <c r="C6">
        <v>772</v>
      </c>
      <c r="D6">
        <v>1</v>
      </c>
      <c r="E6" s="1">
        <v>45837</v>
      </c>
      <c r="F6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6">
        <f>tblLineas[[#This Row],[OrderQty]]-tblLineas[[#This Row],[Entregadas]]</f>
        <v>0</v>
      </c>
      <c r="H6">
        <f>IF(tblLineas[[#This Row],[Entregadas]]=tblLineas[[#This Row],[OrderQty]],1,0)</f>
        <v>1</v>
      </c>
      <c r="I6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7" spans="1:9">
      <c r="A7">
        <v>43659</v>
      </c>
      <c r="B7">
        <v>6</v>
      </c>
      <c r="C7">
        <v>773</v>
      </c>
      <c r="D7">
        <v>2</v>
      </c>
      <c r="E7" s="1">
        <v>45837</v>
      </c>
      <c r="F7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7">
        <f>tblLineas[[#This Row],[OrderQty]]-tblLineas[[#This Row],[Entregadas]]</f>
        <v>0</v>
      </c>
      <c r="H7">
        <f>IF(tblLineas[[#This Row],[Entregadas]]=tblLineas[[#This Row],[OrderQty]],1,0)</f>
        <v>1</v>
      </c>
      <c r="I7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8" spans="1:9">
      <c r="A8">
        <v>43659</v>
      </c>
      <c r="B8">
        <v>7</v>
      </c>
      <c r="C8">
        <v>774</v>
      </c>
      <c r="D8">
        <v>1</v>
      </c>
      <c r="E8" s="1">
        <v>45837</v>
      </c>
      <c r="F8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8">
        <f>tblLineas[[#This Row],[OrderQty]]-tblLineas[[#This Row],[Entregadas]]</f>
        <v>0</v>
      </c>
      <c r="H8">
        <f>IF(tblLineas[[#This Row],[Entregadas]]=tblLineas[[#This Row],[OrderQty]],1,0)</f>
        <v>1</v>
      </c>
      <c r="I8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9" spans="1:9">
      <c r="A9">
        <v>43659</v>
      </c>
      <c r="B9">
        <v>8</v>
      </c>
      <c r="C9">
        <v>714</v>
      </c>
      <c r="D9">
        <v>3</v>
      </c>
      <c r="E9" s="1">
        <v>45837</v>
      </c>
      <c r="F9">
        <f>SUMIFS(tblEntregas[DeliveredQty],tblEntregas[SalesOrderID],tblLineas[[#This Row],[SalesOrderID]],tblEntregas[SalesOrderDetailID],tblLineas[[#This Row],[SalesOrderDetailID]],tblEntregas[DeliveryDate],"&lt;="&amp;tblLineas[[#This Row],[CutoffDate]])</f>
        <v>3</v>
      </c>
      <c r="G9">
        <f>tblLineas[[#This Row],[OrderQty]]-tblLineas[[#This Row],[Entregadas]]</f>
        <v>0</v>
      </c>
      <c r="H9">
        <f>IF(tblLineas[[#This Row],[Entregadas]]=tblLineas[[#This Row],[OrderQty]],1,0)</f>
        <v>1</v>
      </c>
      <c r="I9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10" spans="1:9">
      <c r="A10">
        <v>43659</v>
      </c>
      <c r="B10">
        <v>9</v>
      </c>
      <c r="C10">
        <v>716</v>
      </c>
      <c r="D10">
        <v>1</v>
      </c>
      <c r="E10" s="1">
        <v>45837</v>
      </c>
      <c r="F10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10">
        <f>tblLineas[[#This Row],[OrderQty]]-tblLineas[[#This Row],[Entregadas]]</f>
        <v>0</v>
      </c>
      <c r="H10">
        <f>IF(tblLineas[[#This Row],[Entregadas]]=tblLineas[[#This Row],[OrderQty]],1,0)</f>
        <v>1</v>
      </c>
      <c r="I10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11" spans="1:9">
      <c r="A11">
        <v>43659</v>
      </c>
      <c r="B11">
        <v>10</v>
      </c>
      <c r="C11">
        <v>709</v>
      </c>
      <c r="D11">
        <v>6</v>
      </c>
      <c r="E11" s="1">
        <v>45837</v>
      </c>
      <c r="F11">
        <f>SUMIFS(tblEntregas[DeliveredQty],tblEntregas[SalesOrderID],tblLineas[[#This Row],[SalesOrderID]],tblEntregas[SalesOrderDetailID],tblLineas[[#This Row],[SalesOrderDetailID]],tblEntregas[DeliveryDate],"&lt;="&amp;tblLineas[[#This Row],[CutoffDate]])</f>
        <v>6</v>
      </c>
      <c r="G11">
        <f>tblLineas[[#This Row],[OrderQty]]-tblLineas[[#This Row],[Entregadas]]</f>
        <v>0</v>
      </c>
      <c r="H11">
        <f>IF(tblLineas[[#This Row],[Entregadas]]=tblLineas[[#This Row],[OrderQty]],1,0)</f>
        <v>1</v>
      </c>
      <c r="I11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12" spans="1:9">
      <c r="A12">
        <v>43659</v>
      </c>
      <c r="B12">
        <v>11</v>
      </c>
      <c r="C12">
        <v>712</v>
      </c>
      <c r="D12">
        <v>2</v>
      </c>
      <c r="E12" s="1">
        <v>45837</v>
      </c>
      <c r="F12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12">
        <f>tblLineas[[#This Row],[OrderQty]]-tblLineas[[#This Row],[Entregadas]]</f>
        <v>0</v>
      </c>
      <c r="H12">
        <f>IF(tblLineas[[#This Row],[Entregadas]]=tblLineas[[#This Row],[OrderQty]],1,0)</f>
        <v>1</v>
      </c>
      <c r="I12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13" spans="1:9">
      <c r="A13">
        <v>43659</v>
      </c>
      <c r="B13">
        <v>12</v>
      </c>
      <c r="C13">
        <v>711</v>
      </c>
      <c r="D13">
        <v>4</v>
      </c>
      <c r="E13" s="1">
        <v>45837</v>
      </c>
      <c r="F13">
        <f>SUMIFS(tblEntregas[DeliveredQty],tblEntregas[SalesOrderID],tblLineas[[#This Row],[SalesOrderID]],tblEntregas[SalesOrderDetailID],tblLineas[[#This Row],[SalesOrderDetailID]],tblEntregas[DeliveryDate],"&lt;="&amp;tblLineas[[#This Row],[CutoffDate]])</f>
        <v>4</v>
      </c>
      <c r="G13">
        <f>tblLineas[[#This Row],[OrderQty]]-tblLineas[[#This Row],[Entregadas]]</f>
        <v>0</v>
      </c>
      <c r="H13">
        <f>IF(tblLineas[[#This Row],[Entregadas]]=tblLineas[[#This Row],[OrderQty]],1,0)</f>
        <v>1</v>
      </c>
      <c r="I13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44721</v>
      </c>
    </row>
    <row r="14" spans="1:9">
      <c r="A14">
        <v>43660</v>
      </c>
      <c r="B14">
        <v>13</v>
      </c>
      <c r="C14">
        <v>762</v>
      </c>
      <c r="D14">
        <v>1</v>
      </c>
      <c r="E14" s="1">
        <v>45837</v>
      </c>
      <c r="F14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14">
        <f>tblLineas[[#This Row],[OrderQty]]-tblLineas[[#This Row],[Entregadas]]</f>
        <v>0</v>
      </c>
      <c r="H14">
        <f>IF(tblLineas[[#This Row],[Entregadas]]=tblLineas[[#This Row],[OrderQty]],1,0)</f>
        <v>1</v>
      </c>
      <c r="I14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44722</v>
      </c>
    </row>
    <row r="15" spans="1:9">
      <c r="A15">
        <v>43660</v>
      </c>
      <c r="B15">
        <v>14</v>
      </c>
      <c r="C15">
        <v>758</v>
      </c>
      <c r="D15">
        <v>1</v>
      </c>
      <c r="E15" s="1">
        <v>45837</v>
      </c>
      <c r="F15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15">
        <f>tblLineas[[#This Row],[OrderQty]]-tblLineas[[#This Row],[Entregadas]]</f>
        <v>0</v>
      </c>
      <c r="H15">
        <f>IF(tblLineas[[#This Row],[Entregadas]]=tblLineas[[#This Row],[OrderQty]],1,0)</f>
        <v>1</v>
      </c>
      <c r="I15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44722</v>
      </c>
    </row>
    <row r="16" spans="1:9">
      <c r="A16">
        <v>43661</v>
      </c>
      <c r="B16">
        <v>15</v>
      </c>
      <c r="C16">
        <v>745</v>
      </c>
      <c r="D16">
        <v>1</v>
      </c>
      <c r="E16" s="1">
        <v>45837</v>
      </c>
      <c r="F16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16">
        <f>tblLineas[[#This Row],[OrderQty]]-tblLineas[[#This Row],[Entregadas]]</f>
        <v>0</v>
      </c>
      <c r="H16">
        <f>IF(tblLineas[[#This Row],[Entregadas]]=tblLineas[[#This Row],[OrderQty]],1,0)</f>
        <v>1</v>
      </c>
      <c r="I16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17" spans="1:9">
      <c r="A17">
        <v>43661</v>
      </c>
      <c r="B17">
        <v>16</v>
      </c>
      <c r="C17">
        <v>743</v>
      </c>
      <c r="D17">
        <v>1</v>
      </c>
      <c r="E17" s="1">
        <v>45837</v>
      </c>
      <c r="F17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17">
        <f>tblLineas[[#This Row],[OrderQty]]-tblLineas[[#This Row],[Entregadas]]</f>
        <v>0</v>
      </c>
      <c r="H17">
        <f>IF(tblLineas[[#This Row],[Entregadas]]=tblLineas[[#This Row],[OrderQty]],1,0)</f>
        <v>1</v>
      </c>
      <c r="I17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18" spans="1:9">
      <c r="A18">
        <v>43661</v>
      </c>
      <c r="B18">
        <v>17</v>
      </c>
      <c r="C18">
        <v>747</v>
      </c>
      <c r="D18">
        <v>2</v>
      </c>
      <c r="E18" s="1">
        <v>45837</v>
      </c>
      <c r="F18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18">
        <f>tblLineas[[#This Row],[OrderQty]]-tblLineas[[#This Row],[Entregadas]]</f>
        <v>0</v>
      </c>
      <c r="H18">
        <f>IF(tblLineas[[#This Row],[Entregadas]]=tblLineas[[#This Row],[OrderQty]],1,0)</f>
        <v>1</v>
      </c>
      <c r="I18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19" spans="1:9">
      <c r="A19">
        <v>43661</v>
      </c>
      <c r="B19">
        <v>18</v>
      </c>
      <c r="C19">
        <v>712</v>
      </c>
      <c r="D19">
        <v>4</v>
      </c>
      <c r="E19" s="1">
        <v>45837</v>
      </c>
      <c r="F19">
        <f>SUMIFS(tblEntregas[DeliveredQty],tblEntregas[SalesOrderID],tblLineas[[#This Row],[SalesOrderID]],tblEntregas[SalesOrderDetailID],tblLineas[[#This Row],[SalesOrderDetailID]],tblEntregas[DeliveryDate],"&lt;="&amp;tblLineas[[#This Row],[CutoffDate]])</f>
        <v>4</v>
      </c>
      <c r="G19">
        <f>tblLineas[[#This Row],[OrderQty]]-tblLineas[[#This Row],[Entregadas]]</f>
        <v>0</v>
      </c>
      <c r="H19">
        <f>IF(tblLineas[[#This Row],[Entregadas]]=tblLineas[[#This Row],[OrderQty]],1,0)</f>
        <v>1</v>
      </c>
      <c r="I19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0" spans="1:9">
      <c r="A20">
        <v>43661</v>
      </c>
      <c r="B20">
        <v>19</v>
      </c>
      <c r="C20">
        <v>715</v>
      </c>
      <c r="D20">
        <v>4</v>
      </c>
      <c r="E20" s="1">
        <v>45837</v>
      </c>
      <c r="F20">
        <f>SUMIFS(tblEntregas[DeliveredQty],tblEntregas[SalesOrderID],tblLineas[[#This Row],[SalesOrderID]],tblEntregas[SalesOrderDetailID],tblLineas[[#This Row],[SalesOrderDetailID]],tblEntregas[DeliveryDate],"&lt;="&amp;tblLineas[[#This Row],[CutoffDate]])</f>
        <v>4</v>
      </c>
      <c r="G20">
        <f>tblLineas[[#This Row],[OrderQty]]-tblLineas[[#This Row],[Entregadas]]</f>
        <v>0</v>
      </c>
      <c r="H20">
        <f>IF(tblLineas[[#This Row],[Entregadas]]=tblLineas[[#This Row],[OrderQty]],1,0)</f>
        <v>1</v>
      </c>
      <c r="I20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1" spans="1:9">
      <c r="A21">
        <v>43661</v>
      </c>
      <c r="B21">
        <v>20</v>
      </c>
      <c r="C21">
        <v>742</v>
      </c>
      <c r="D21">
        <v>2</v>
      </c>
      <c r="E21" s="1">
        <v>45837</v>
      </c>
      <c r="F21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21">
        <f>tblLineas[[#This Row],[OrderQty]]-tblLineas[[#This Row],[Entregadas]]</f>
        <v>0</v>
      </c>
      <c r="H21">
        <f>IF(tblLineas[[#This Row],[Entregadas]]=tblLineas[[#This Row],[OrderQty]],1,0)</f>
        <v>1</v>
      </c>
      <c r="I21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2" spans="1:9">
      <c r="A22">
        <v>43661</v>
      </c>
      <c r="B22">
        <v>21</v>
      </c>
      <c r="C22">
        <v>775</v>
      </c>
      <c r="D22">
        <v>3</v>
      </c>
      <c r="E22" s="1">
        <v>45837</v>
      </c>
      <c r="F22">
        <f>SUMIFS(tblEntregas[DeliveredQty],tblEntregas[SalesOrderID],tblLineas[[#This Row],[SalesOrderID]],tblEntregas[SalesOrderDetailID],tblLineas[[#This Row],[SalesOrderDetailID]],tblEntregas[DeliveryDate],"&lt;="&amp;tblLineas[[#This Row],[CutoffDate]])</f>
        <v>3</v>
      </c>
      <c r="G22">
        <f>tblLineas[[#This Row],[OrderQty]]-tblLineas[[#This Row],[Entregadas]]</f>
        <v>0</v>
      </c>
      <c r="H22">
        <f>IF(tblLineas[[#This Row],[Entregadas]]=tblLineas[[#This Row],[OrderQty]],1,0)</f>
        <v>1</v>
      </c>
      <c r="I22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3" spans="1:9">
      <c r="A23">
        <v>43661</v>
      </c>
      <c r="B23">
        <v>22</v>
      </c>
      <c r="C23">
        <v>778</v>
      </c>
      <c r="D23">
        <v>2</v>
      </c>
      <c r="E23" s="1">
        <v>45837</v>
      </c>
      <c r="F23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23">
        <f>tblLineas[[#This Row],[OrderQty]]-tblLineas[[#This Row],[Entregadas]]</f>
        <v>0</v>
      </c>
      <c r="H23">
        <f>IF(tblLineas[[#This Row],[Entregadas]]=tblLineas[[#This Row],[OrderQty]],1,0)</f>
        <v>1</v>
      </c>
      <c r="I23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4" spans="1:9">
      <c r="A24">
        <v>43661</v>
      </c>
      <c r="B24">
        <v>23</v>
      </c>
      <c r="C24">
        <v>711</v>
      </c>
      <c r="D24">
        <v>2</v>
      </c>
      <c r="E24" s="1">
        <v>45837</v>
      </c>
      <c r="F24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24">
        <f>tblLineas[[#This Row],[OrderQty]]-tblLineas[[#This Row],[Entregadas]]</f>
        <v>0</v>
      </c>
      <c r="H24">
        <f>IF(tblLineas[[#This Row],[Entregadas]]=tblLineas[[#This Row],[OrderQty]],1,0)</f>
        <v>1</v>
      </c>
      <c r="I24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5" spans="1:9">
      <c r="A25">
        <v>43661</v>
      </c>
      <c r="B25">
        <v>24</v>
      </c>
      <c r="C25">
        <v>741</v>
      </c>
      <c r="D25">
        <v>2</v>
      </c>
      <c r="E25" s="1">
        <v>45837</v>
      </c>
      <c r="F25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25">
        <f>tblLineas[[#This Row],[OrderQty]]-tblLineas[[#This Row],[Entregadas]]</f>
        <v>0</v>
      </c>
      <c r="H25">
        <f>IF(tblLineas[[#This Row],[Entregadas]]=tblLineas[[#This Row],[OrderQty]],1,0)</f>
        <v>1</v>
      </c>
      <c r="I25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6" spans="1:9">
      <c r="A26">
        <v>43661</v>
      </c>
      <c r="B26">
        <v>25</v>
      </c>
      <c r="C26">
        <v>776</v>
      </c>
      <c r="D26">
        <v>4</v>
      </c>
      <c r="E26" s="1">
        <v>45837</v>
      </c>
      <c r="F26">
        <f>SUMIFS(tblEntregas[DeliveredQty],tblEntregas[SalesOrderID],tblLineas[[#This Row],[SalesOrderID]],tblEntregas[SalesOrderDetailID],tblLineas[[#This Row],[SalesOrderDetailID]],tblEntregas[DeliveryDate],"&lt;="&amp;tblLineas[[#This Row],[CutoffDate]])</f>
        <v>4</v>
      </c>
      <c r="G26">
        <f>tblLineas[[#This Row],[OrderQty]]-tblLineas[[#This Row],[Entregadas]]</f>
        <v>0</v>
      </c>
      <c r="H26">
        <f>IF(tblLineas[[#This Row],[Entregadas]]=tblLineas[[#This Row],[OrderQty]],1,0)</f>
        <v>1</v>
      </c>
      <c r="I26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7" spans="1:9">
      <c r="A27">
        <v>43661</v>
      </c>
      <c r="B27">
        <v>26</v>
      </c>
      <c r="C27">
        <v>773</v>
      </c>
      <c r="D27">
        <v>2</v>
      </c>
      <c r="E27" s="1">
        <v>45837</v>
      </c>
      <c r="F27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27">
        <f>tblLineas[[#This Row],[OrderQty]]-tblLineas[[#This Row],[Entregadas]]</f>
        <v>0</v>
      </c>
      <c r="H27">
        <f>IF(tblLineas[[#This Row],[Entregadas]]=tblLineas[[#This Row],[OrderQty]],1,0)</f>
        <v>1</v>
      </c>
      <c r="I27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8" spans="1:9">
      <c r="A28">
        <v>43661</v>
      </c>
      <c r="B28">
        <v>27</v>
      </c>
      <c r="C28">
        <v>716</v>
      </c>
      <c r="D28">
        <v>2</v>
      </c>
      <c r="E28" s="1">
        <v>45837</v>
      </c>
      <c r="F28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28">
        <f>tblLineas[[#This Row],[OrderQty]]-tblLineas[[#This Row],[Entregadas]]</f>
        <v>0</v>
      </c>
      <c r="H28">
        <f>IF(tblLineas[[#This Row],[Entregadas]]=tblLineas[[#This Row],[OrderQty]],1,0)</f>
        <v>1</v>
      </c>
      <c r="I28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29" spans="1:9">
      <c r="A29">
        <v>43661</v>
      </c>
      <c r="B29">
        <v>28</v>
      </c>
      <c r="C29">
        <v>777</v>
      </c>
      <c r="D29">
        <v>2</v>
      </c>
      <c r="E29" s="1">
        <v>45837</v>
      </c>
      <c r="F29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29">
        <f>tblLineas[[#This Row],[OrderQty]]-tblLineas[[#This Row],[Entregadas]]</f>
        <v>0</v>
      </c>
      <c r="H29">
        <f>IF(tblLineas[[#This Row],[Entregadas]]=tblLineas[[#This Row],[OrderQty]],1,0)</f>
        <v>1</v>
      </c>
      <c r="I29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44732</v>
      </c>
    </row>
    <row r="30" spans="1:9">
      <c r="A30">
        <v>43661</v>
      </c>
      <c r="B30">
        <v>29</v>
      </c>
      <c r="C30">
        <v>708</v>
      </c>
      <c r="D30">
        <v>5</v>
      </c>
      <c r="E30" s="1">
        <v>45837</v>
      </c>
      <c r="F30">
        <f>SUMIFS(tblEntregas[DeliveredQty],tblEntregas[SalesOrderID],tblLineas[[#This Row],[SalesOrderID]],tblEntregas[SalesOrderDetailID],tblLineas[[#This Row],[SalesOrderDetailID]],tblEntregas[DeliveryDate],"&lt;="&amp;tblLineas[[#This Row],[CutoffDate]])</f>
        <v>0</v>
      </c>
      <c r="G30">
        <f>tblLineas[[#This Row],[OrderQty]]-tblLineas[[#This Row],[Entregadas]]</f>
        <v>5</v>
      </c>
      <c r="H30">
        <f>IF(tblLineas[[#This Row],[Entregadas]]=tblLineas[[#This Row],[OrderQty]],1,0)</f>
        <v>0</v>
      </c>
      <c r="I30" s="1" t="str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/>
      </c>
    </row>
    <row r="31" spans="1:9">
      <c r="A31">
        <v>43665</v>
      </c>
      <c r="B31">
        <v>61</v>
      </c>
      <c r="C31">
        <v>711</v>
      </c>
      <c r="D31">
        <v>2</v>
      </c>
      <c r="E31" s="1">
        <v>45837</v>
      </c>
      <c r="F31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31">
        <f>tblLineas[[#This Row],[OrderQty]]-tblLineas[[#This Row],[Entregadas]]</f>
        <v>0</v>
      </c>
      <c r="H31">
        <f>IF(tblLineas[[#This Row],[Entregadas]]=tblLineas[[#This Row],[OrderQty]],1,0)</f>
        <v>1</v>
      </c>
      <c r="I31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32" spans="1:9">
      <c r="A32">
        <v>43665</v>
      </c>
      <c r="B32">
        <v>62</v>
      </c>
      <c r="C32">
        <v>773</v>
      </c>
      <c r="D32">
        <v>1</v>
      </c>
      <c r="E32" s="1">
        <v>45837</v>
      </c>
      <c r="F32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32">
        <f>tblLineas[[#This Row],[OrderQty]]-tblLineas[[#This Row],[Entregadas]]</f>
        <v>0</v>
      </c>
      <c r="H32">
        <f>IF(tblLineas[[#This Row],[Entregadas]]=tblLineas[[#This Row],[OrderQty]],1,0)</f>
        <v>1</v>
      </c>
      <c r="I32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33" spans="1:9">
      <c r="A33">
        <v>43665</v>
      </c>
      <c r="B33">
        <v>63</v>
      </c>
      <c r="C33">
        <v>707</v>
      </c>
      <c r="D33">
        <v>1</v>
      </c>
      <c r="E33" s="1">
        <v>45837</v>
      </c>
      <c r="F33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33">
        <f>tblLineas[[#This Row],[OrderQty]]-tblLineas[[#This Row],[Entregadas]]</f>
        <v>0</v>
      </c>
      <c r="H33">
        <f>IF(tblLineas[[#This Row],[Entregadas]]=tblLineas[[#This Row],[OrderQty]],1,0)</f>
        <v>1</v>
      </c>
      <c r="I33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34" spans="1:9">
      <c r="A34">
        <v>43665</v>
      </c>
      <c r="B34">
        <v>64</v>
      </c>
      <c r="C34">
        <v>715</v>
      </c>
      <c r="D34">
        <v>2</v>
      </c>
      <c r="E34" s="1">
        <v>45837</v>
      </c>
      <c r="F34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34">
        <f>tblLineas[[#This Row],[OrderQty]]-tblLineas[[#This Row],[Entregadas]]</f>
        <v>0</v>
      </c>
      <c r="H34">
        <f>IF(tblLineas[[#This Row],[Entregadas]]=tblLineas[[#This Row],[OrderQty]],1,0)</f>
        <v>1</v>
      </c>
      <c r="I34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35" spans="1:9">
      <c r="A35">
        <v>43665</v>
      </c>
      <c r="B35">
        <v>65</v>
      </c>
      <c r="C35">
        <v>777</v>
      </c>
      <c r="D35">
        <v>2</v>
      </c>
      <c r="E35" s="1">
        <v>45837</v>
      </c>
      <c r="F35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35">
        <f>tblLineas[[#This Row],[OrderQty]]-tblLineas[[#This Row],[Entregadas]]</f>
        <v>0</v>
      </c>
      <c r="H35">
        <f>IF(tblLineas[[#This Row],[Entregadas]]=tblLineas[[#This Row],[OrderQty]],1,0)</f>
        <v>1</v>
      </c>
      <c r="I35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36" spans="1:9">
      <c r="A36">
        <v>43665</v>
      </c>
      <c r="B36">
        <v>66</v>
      </c>
      <c r="C36">
        <v>712</v>
      </c>
      <c r="D36">
        <v>2</v>
      </c>
      <c r="E36" s="1">
        <v>45837</v>
      </c>
      <c r="F36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36">
        <f>tblLineas[[#This Row],[OrderQty]]-tblLineas[[#This Row],[Entregadas]]</f>
        <v>0</v>
      </c>
      <c r="H36">
        <f>IF(tblLineas[[#This Row],[Entregadas]]=tblLineas[[#This Row],[OrderQty]],1,0)</f>
        <v>1</v>
      </c>
      <c r="I36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37" spans="1:9">
      <c r="A37">
        <v>43665</v>
      </c>
      <c r="B37">
        <v>67</v>
      </c>
      <c r="C37">
        <v>775</v>
      </c>
      <c r="D37">
        <v>2</v>
      </c>
      <c r="E37" s="1">
        <v>45837</v>
      </c>
      <c r="F37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37">
        <f>tblLineas[[#This Row],[OrderQty]]-tblLineas[[#This Row],[Entregadas]]</f>
        <v>0</v>
      </c>
      <c r="H37">
        <f>IF(tblLineas[[#This Row],[Entregadas]]=tblLineas[[#This Row],[OrderQty]],1,0)</f>
        <v>1</v>
      </c>
      <c r="I37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38" spans="1:9">
      <c r="A38">
        <v>43665</v>
      </c>
      <c r="B38">
        <v>68</v>
      </c>
      <c r="C38">
        <v>778</v>
      </c>
      <c r="D38">
        <v>1</v>
      </c>
      <c r="E38" s="1">
        <v>45837</v>
      </c>
      <c r="F38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38">
        <f>tblLineas[[#This Row],[OrderQty]]-tblLineas[[#This Row],[Entregadas]]</f>
        <v>0</v>
      </c>
      <c r="H38">
        <f>IF(tblLineas[[#This Row],[Entregadas]]=tblLineas[[#This Row],[OrderQty]],1,0)</f>
        <v>1</v>
      </c>
      <c r="I38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39" spans="1:9">
      <c r="A39">
        <v>43665</v>
      </c>
      <c r="B39">
        <v>69</v>
      </c>
      <c r="C39">
        <v>709</v>
      </c>
      <c r="D39">
        <v>6</v>
      </c>
      <c r="E39" s="1">
        <v>45837</v>
      </c>
      <c r="F39">
        <f>SUMIFS(tblEntregas[DeliveredQty],tblEntregas[SalesOrderID],tblLineas[[#This Row],[SalesOrderID]],tblEntregas[SalesOrderDetailID],tblLineas[[#This Row],[SalesOrderDetailID]],tblEntregas[DeliveryDate],"&lt;="&amp;tblLineas[[#This Row],[CutoffDate]])</f>
        <v>6</v>
      </c>
      <c r="G39">
        <f>tblLineas[[#This Row],[OrderQty]]-tblLineas[[#This Row],[Entregadas]]</f>
        <v>0</v>
      </c>
      <c r="H39">
        <f>IF(tblLineas[[#This Row],[Entregadas]]=tblLineas[[#This Row],[OrderQty]],1,0)</f>
        <v>1</v>
      </c>
      <c r="I39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40" spans="1:9">
      <c r="A40">
        <v>43665</v>
      </c>
      <c r="B40">
        <v>70</v>
      </c>
      <c r="C40">
        <v>776</v>
      </c>
      <c r="D40">
        <v>1</v>
      </c>
      <c r="E40" s="1">
        <v>45837</v>
      </c>
      <c r="F40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40">
        <f>tblLineas[[#This Row],[OrderQty]]-tblLineas[[#This Row],[Entregadas]]</f>
        <v>0</v>
      </c>
      <c r="H40">
        <f>IF(tblLineas[[#This Row],[Entregadas]]=tblLineas[[#This Row],[OrderQty]],1,0)</f>
        <v>1</v>
      </c>
      <c r="I40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44730</v>
      </c>
    </row>
    <row r="41" spans="1:9">
      <c r="A41">
        <v>43666</v>
      </c>
      <c r="B41">
        <v>71</v>
      </c>
      <c r="C41">
        <v>764</v>
      </c>
      <c r="D41">
        <v>1</v>
      </c>
      <c r="E41" s="1">
        <v>45837</v>
      </c>
      <c r="F41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41">
        <f>tblLineas[[#This Row],[OrderQty]]-tblLineas[[#This Row],[Entregadas]]</f>
        <v>0</v>
      </c>
      <c r="H41">
        <f>IF(tblLineas[[#This Row],[Entregadas]]=tblLineas[[#This Row],[OrderQty]],1,0)</f>
        <v>1</v>
      </c>
      <c r="I41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44729</v>
      </c>
    </row>
    <row r="42" spans="1:9">
      <c r="A42">
        <v>43666</v>
      </c>
      <c r="B42">
        <v>72</v>
      </c>
      <c r="C42">
        <v>753</v>
      </c>
      <c r="D42">
        <v>1</v>
      </c>
      <c r="E42" s="1">
        <v>45837</v>
      </c>
      <c r="F42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42">
        <f>tblLineas[[#This Row],[OrderQty]]-tblLineas[[#This Row],[Entregadas]]</f>
        <v>0</v>
      </c>
      <c r="H42">
        <f>IF(tblLineas[[#This Row],[Entregadas]]=tblLineas[[#This Row],[OrderQty]],1,0)</f>
        <v>1</v>
      </c>
      <c r="I42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44729</v>
      </c>
    </row>
    <row r="43" spans="1:9">
      <c r="A43">
        <v>43666</v>
      </c>
      <c r="B43">
        <v>73</v>
      </c>
      <c r="C43">
        <v>732</v>
      </c>
      <c r="D43">
        <v>1</v>
      </c>
      <c r="E43" s="1">
        <v>45837</v>
      </c>
      <c r="F43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43">
        <f>tblLineas[[#This Row],[OrderQty]]-tblLineas[[#This Row],[Entregadas]]</f>
        <v>0</v>
      </c>
      <c r="H43">
        <f>IF(tblLineas[[#This Row],[Entregadas]]=tblLineas[[#This Row],[OrderQty]],1,0)</f>
        <v>1</v>
      </c>
      <c r="I43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44729</v>
      </c>
    </row>
    <row r="44" spans="1:9">
      <c r="A44">
        <v>43666</v>
      </c>
      <c r="B44">
        <v>74</v>
      </c>
      <c r="C44">
        <v>756</v>
      </c>
      <c r="D44">
        <v>1</v>
      </c>
      <c r="E44" s="1">
        <v>45837</v>
      </c>
      <c r="F44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44">
        <f>tblLineas[[#This Row],[OrderQty]]-tblLineas[[#This Row],[Entregadas]]</f>
        <v>0</v>
      </c>
      <c r="H44">
        <f>IF(tblLineas[[#This Row],[Entregadas]]=tblLineas[[#This Row],[OrderQty]],1,0)</f>
        <v>1</v>
      </c>
      <c r="I44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44729</v>
      </c>
    </row>
    <row r="45" spans="1:9">
      <c r="A45">
        <v>43666</v>
      </c>
      <c r="B45">
        <v>75</v>
      </c>
      <c r="C45">
        <v>768</v>
      </c>
      <c r="D45">
        <v>2</v>
      </c>
      <c r="E45" s="1">
        <v>45837</v>
      </c>
      <c r="F45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45">
        <f>tblLineas[[#This Row],[OrderQty]]-tblLineas[[#This Row],[Entregadas]]</f>
        <v>0</v>
      </c>
      <c r="H45">
        <f>IF(tblLineas[[#This Row],[Entregadas]]=tblLineas[[#This Row],[OrderQty]],1,0)</f>
        <v>1</v>
      </c>
      <c r="I45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44729</v>
      </c>
    </row>
    <row r="46" spans="1:9">
      <c r="A46">
        <v>43666</v>
      </c>
      <c r="B46">
        <v>76</v>
      </c>
      <c r="C46">
        <v>766</v>
      </c>
      <c r="D46">
        <v>1</v>
      </c>
      <c r="E46" s="1">
        <v>45837</v>
      </c>
      <c r="F46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46">
        <f>tblLineas[[#This Row],[OrderQty]]-tblLineas[[#This Row],[Entregadas]]</f>
        <v>0</v>
      </c>
      <c r="H46">
        <f>IF(tblLineas[[#This Row],[Entregadas]]=tblLineas[[#This Row],[OrderQty]],1,0)</f>
        <v>1</v>
      </c>
      <c r="I46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44729</v>
      </c>
    </row>
    <row r="47" spans="1:9">
      <c r="A47">
        <v>43861</v>
      </c>
      <c r="B47">
        <v>635</v>
      </c>
      <c r="C47">
        <v>732</v>
      </c>
      <c r="D47">
        <v>1</v>
      </c>
      <c r="E47" s="1">
        <v>45837</v>
      </c>
      <c r="F47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47">
        <f>tblLineas[[#This Row],[OrderQty]]-tblLineas[[#This Row],[Entregadas]]</f>
        <v>0</v>
      </c>
      <c r="H47">
        <f>IF(tblLineas[[#This Row],[Entregadas]]=tblLineas[[#This Row],[OrderQty]],1,0)</f>
        <v>1</v>
      </c>
      <c r="I47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48" spans="1:9">
      <c r="A48">
        <v>43861</v>
      </c>
      <c r="B48">
        <v>636</v>
      </c>
      <c r="C48">
        <v>764</v>
      </c>
      <c r="D48">
        <v>3</v>
      </c>
      <c r="E48" s="1">
        <v>45837</v>
      </c>
      <c r="F48">
        <f>SUMIFS(tblEntregas[DeliveredQty],tblEntregas[SalesOrderID],tblLineas[[#This Row],[SalesOrderID]],tblEntregas[SalesOrderDetailID],tblLineas[[#This Row],[SalesOrderDetailID]],tblEntregas[DeliveryDate],"&lt;="&amp;tblLineas[[#This Row],[CutoffDate]])</f>
        <v>3</v>
      </c>
      <c r="G48">
        <f>tblLineas[[#This Row],[OrderQty]]-tblLineas[[#This Row],[Entregadas]]</f>
        <v>0</v>
      </c>
      <c r="H48">
        <f>IF(tblLineas[[#This Row],[Entregadas]]=tblLineas[[#This Row],[OrderQty]],1,0)</f>
        <v>1</v>
      </c>
      <c r="I48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49" spans="1:9">
      <c r="A49">
        <v>43861</v>
      </c>
      <c r="B49">
        <v>637</v>
      </c>
      <c r="C49">
        <v>770</v>
      </c>
      <c r="D49">
        <v>5</v>
      </c>
      <c r="E49" s="1">
        <v>45837</v>
      </c>
      <c r="F49">
        <f>SUMIFS(tblEntregas[DeliveredQty],tblEntregas[SalesOrderID],tblLineas[[#This Row],[SalesOrderID]],tblEntregas[SalesOrderDetailID],tblLineas[[#This Row],[SalesOrderDetailID]],tblEntregas[DeliveryDate],"&lt;="&amp;tblLineas[[#This Row],[CutoffDate]])</f>
        <v>5</v>
      </c>
      <c r="G49">
        <f>tblLineas[[#This Row],[OrderQty]]-tblLineas[[#This Row],[Entregadas]]</f>
        <v>0</v>
      </c>
      <c r="H49">
        <f>IF(tblLineas[[#This Row],[Entregadas]]=tblLineas[[#This Row],[OrderQty]],1,0)</f>
        <v>1</v>
      </c>
      <c r="I49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0" spans="1:9">
      <c r="A50">
        <v>43861</v>
      </c>
      <c r="B50">
        <v>638</v>
      </c>
      <c r="C50">
        <v>768</v>
      </c>
      <c r="D50">
        <v>2</v>
      </c>
      <c r="E50" s="1">
        <v>45837</v>
      </c>
      <c r="F50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50">
        <f>tblLineas[[#This Row],[OrderQty]]-tblLineas[[#This Row],[Entregadas]]</f>
        <v>0</v>
      </c>
      <c r="H50">
        <f>IF(tblLineas[[#This Row],[Entregadas]]=tblLineas[[#This Row],[OrderQty]],1,0)</f>
        <v>1</v>
      </c>
      <c r="I50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1" spans="1:9">
      <c r="A51">
        <v>43861</v>
      </c>
      <c r="B51">
        <v>639</v>
      </c>
      <c r="C51">
        <v>725</v>
      </c>
      <c r="D51">
        <v>1</v>
      </c>
      <c r="E51" s="1">
        <v>45837</v>
      </c>
      <c r="F51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51">
        <f>tblLineas[[#This Row],[OrderQty]]-tblLineas[[#This Row],[Entregadas]]</f>
        <v>0</v>
      </c>
      <c r="H51">
        <f>IF(tblLineas[[#This Row],[Entregadas]]=tblLineas[[#This Row],[OrderQty]],1,0)</f>
        <v>1</v>
      </c>
      <c r="I51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2" spans="1:9">
      <c r="A52">
        <v>43861</v>
      </c>
      <c r="B52">
        <v>640</v>
      </c>
      <c r="C52">
        <v>715</v>
      </c>
      <c r="D52">
        <v>9</v>
      </c>
      <c r="E52" s="1">
        <v>45837</v>
      </c>
      <c r="F52">
        <f>SUMIFS(tblEntregas[DeliveredQty],tblEntregas[SalesOrderID],tblLineas[[#This Row],[SalesOrderID]],tblEntregas[SalesOrderDetailID],tblLineas[[#This Row],[SalesOrderDetailID]],tblEntregas[DeliveryDate],"&lt;="&amp;tblLineas[[#This Row],[CutoffDate]])</f>
        <v>9</v>
      </c>
      <c r="G52">
        <f>tblLineas[[#This Row],[OrderQty]]-tblLineas[[#This Row],[Entregadas]]</f>
        <v>0</v>
      </c>
      <c r="H52">
        <f>IF(tblLineas[[#This Row],[Entregadas]]=tblLineas[[#This Row],[OrderQty]],1,0)</f>
        <v>1</v>
      </c>
      <c r="I52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3" spans="1:9">
      <c r="A53">
        <v>43861</v>
      </c>
      <c r="B53">
        <v>641</v>
      </c>
      <c r="C53">
        <v>765</v>
      </c>
      <c r="D53">
        <v>4</v>
      </c>
      <c r="E53" s="1">
        <v>45837</v>
      </c>
      <c r="F53">
        <f>SUMIFS(tblEntregas[DeliveredQty],tblEntregas[SalesOrderID],tblLineas[[#This Row],[SalesOrderID]],tblEntregas[SalesOrderDetailID],tblLineas[[#This Row],[SalesOrderDetailID]],tblEntregas[DeliveryDate],"&lt;="&amp;tblLineas[[#This Row],[CutoffDate]])</f>
        <v>4</v>
      </c>
      <c r="G53">
        <f>tblLineas[[#This Row],[OrderQty]]-tblLineas[[#This Row],[Entregadas]]</f>
        <v>0</v>
      </c>
      <c r="H53">
        <f>IF(tblLineas[[#This Row],[Entregadas]]=tblLineas[[#This Row],[OrderQty]],1,0)</f>
        <v>1</v>
      </c>
      <c r="I53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4" spans="1:9">
      <c r="A54">
        <v>43861</v>
      </c>
      <c r="B54">
        <v>642</v>
      </c>
      <c r="C54">
        <v>753</v>
      </c>
      <c r="D54">
        <v>1</v>
      </c>
      <c r="E54" s="1">
        <v>45837</v>
      </c>
      <c r="F54">
        <f>SUMIFS(tblEntregas[DeliveredQty],tblEntregas[SalesOrderID],tblLineas[[#This Row],[SalesOrderID]],tblEntregas[SalesOrderDetailID],tblLineas[[#This Row],[SalesOrderDetailID]],tblEntregas[DeliveryDate],"&lt;="&amp;tblLineas[[#This Row],[CutoffDate]])</f>
        <v>0</v>
      </c>
      <c r="G54">
        <f>tblLineas[[#This Row],[OrderQty]]-tblLineas[[#This Row],[Entregadas]]</f>
        <v>1</v>
      </c>
      <c r="H54">
        <f>IF(tblLineas[[#This Row],[Entregadas]]=tblLineas[[#This Row],[OrderQty]],1,0)</f>
        <v>0</v>
      </c>
      <c r="I54" s="1" t="str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/>
      </c>
    </row>
    <row r="55" spans="1:9">
      <c r="A55">
        <v>43861</v>
      </c>
      <c r="B55">
        <v>643</v>
      </c>
      <c r="C55">
        <v>733</v>
      </c>
      <c r="D55">
        <v>2</v>
      </c>
      <c r="E55" s="1">
        <v>45837</v>
      </c>
      <c r="F55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55">
        <f>tblLineas[[#This Row],[OrderQty]]-tblLineas[[#This Row],[Entregadas]]</f>
        <v>0</v>
      </c>
      <c r="H55">
        <f>IF(tblLineas[[#This Row],[Entregadas]]=tblLineas[[#This Row],[OrderQty]],1,0)</f>
        <v>1</v>
      </c>
      <c r="I55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6" spans="1:9">
      <c r="A56">
        <v>43861</v>
      </c>
      <c r="B56">
        <v>644</v>
      </c>
      <c r="C56">
        <v>730</v>
      </c>
      <c r="D56">
        <v>2</v>
      </c>
      <c r="E56" s="1">
        <v>45837</v>
      </c>
      <c r="F56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56">
        <f>tblLineas[[#This Row],[OrderQty]]-tblLineas[[#This Row],[Entregadas]]</f>
        <v>0</v>
      </c>
      <c r="H56">
        <f>IF(tblLineas[[#This Row],[Entregadas]]=tblLineas[[#This Row],[OrderQty]],1,0)</f>
        <v>1</v>
      </c>
      <c r="I56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7" spans="1:9">
      <c r="A57">
        <v>43861</v>
      </c>
      <c r="B57">
        <v>645</v>
      </c>
      <c r="C57">
        <v>766</v>
      </c>
      <c r="D57">
        <v>2</v>
      </c>
      <c r="E57" s="1">
        <v>45837</v>
      </c>
      <c r="F57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57">
        <f>tblLineas[[#This Row],[OrderQty]]-tblLineas[[#This Row],[Entregadas]]</f>
        <v>0</v>
      </c>
      <c r="H57">
        <f>IF(tblLineas[[#This Row],[Entregadas]]=tblLineas[[#This Row],[OrderQty]],1,0)</f>
        <v>1</v>
      </c>
      <c r="I57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8" spans="1:9">
      <c r="A58">
        <v>43861</v>
      </c>
      <c r="B58">
        <v>646</v>
      </c>
      <c r="C58">
        <v>711</v>
      </c>
      <c r="D58">
        <v>4</v>
      </c>
      <c r="E58" s="1">
        <v>45837</v>
      </c>
      <c r="F58">
        <f>SUMIFS(tblEntregas[DeliveredQty],tblEntregas[SalesOrderID],tblLineas[[#This Row],[SalesOrderID]],tblEntregas[SalesOrderDetailID],tblLineas[[#This Row],[SalesOrderDetailID]],tblEntregas[DeliveryDate],"&lt;="&amp;tblLineas[[#This Row],[CutoffDate]])</f>
        <v>4</v>
      </c>
      <c r="G58">
        <f>tblLineas[[#This Row],[OrderQty]]-tblLineas[[#This Row],[Entregadas]]</f>
        <v>0</v>
      </c>
      <c r="H58">
        <f>IF(tblLineas[[#This Row],[Entregadas]]=tblLineas[[#This Row],[OrderQty]],1,0)</f>
        <v>1</v>
      </c>
      <c r="I58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59" spans="1:9">
      <c r="A59">
        <v>43861</v>
      </c>
      <c r="B59">
        <v>647</v>
      </c>
      <c r="C59">
        <v>754</v>
      </c>
      <c r="D59">
        <v>3</v>
      </c>
      <c r="E59" s="1">
        <v>45837</v>
      </c>
      <c r="F59">
        <f>SUMIFS(tblEntregas[DeliveredQty],tblEntregas[SalesOrderID],tblLineas[[#This Row],[SalesOrderID]],tblEntregas[SalesOrderDetailID],tblLineas[[#This Row],[SalesOrderDetailID]],tblEntregas[DeliveryDate],"&lt;="&amp;tblLineas[[#This Row],[CutoffDate]])</f>
        <v>3</v>
      </c>
      <c r="G59">
        <f>tblLineas[[#This Row],[OrderQty]]-tblLineas[[#This Row],[Entregadas]]</f>
        <v>0</v>
      </c>
      <c r="H59">
        <f>IF(tblLineas[[#This Row],[Entregadas]]=tblLineas[[#This Row],[OrderQty]],1,0)</f>
        <v>1</v>
      </c>
      <c r="I59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0" spans="1:9">
      <c r="A60">
        <v>43861</v>
      </c>
      <c r="B60">
        <v>648</v>
      </c>
      <c r="C60">
        <v>756</v>
      </c>
      <c r="D60">
        <v>2</v>
      </c>
      <c r="E60" s="1">
        <v>45837</v>
      </c>
      <c r="F60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60">
        <f>tblLineas[[#This Row],[OrderQty]]-tblLineas[[#This Row],[Entregadas]]</f>
        <v>0</v>
      </c>
      <c r="H60">
        <f>IF(tblLineas[[#This Row],[Entregadas]]=tblLineas[[#This Row],[OrderQty]],1,0)</f>
        <v>1</v>
      </c>
      <c r="I60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1" spans="1:9">
      <c r="A61">
        <v>43861</v>
      </c>
      <c r="B61">
        <v>649</v>
      </c>
      <c r="C61">
        <v>729</v>
      </c>
      <c r="D61">
        <v>2</v>
      </c>
      <c r="E61" s="1">
        <v>45837</v>
      </c>
      <c r="F61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61">
        <f>tblLineas[[#This Row],[OrderQty]]-tblLineas[[#This Row],[Entregadas]]</f>
        <v>0</v>
      </c>
      <c r="H61">
        <f>IF(tblLineas[[#This Row],[Entregadas]]=tblLineas[[#This Row],[OrderQty]],1,0)</f>
        <v>1</v>
      </c>
      <c r="I61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2" spans="1:9">
      <c r="A62">
        <v>43861</v>
      </c>
      <c r="B62">
        <v>650</v>
      </c>
      <c r="C62">
        <v>760</v>
      </c>
      <c r="D62">
        <v>4</v>
      </c>
      <c r="E62" s="1">
        <v>45837</v>
      </c>
      <c r="F62">
        <f>SUMIFS(tblEntregas[DeliveredQty],tblEntregas[SalesOrderID],tblLineas[[#This Row],[SalesOrderID]],tblEntregas[SalesOrderDetailID],tblLineas[[#This Row],[SalesOrderDetailID]],tblEntregas[DeliveryDate],"&lt;="&amp;tblLineas[[#This Row],[CutoffDate]])</f>
        <v>4</v>
      </c>
      <c r="G62">
        <f>tblLineas[[#This Row],[OrderQty]]-tblLineas[[#This Row],[Entregadas]]</f>
        <v>0</v>
      </c>
      <c r="H62">
        <f>IF(tblLineas[[#This Row],[Entregadas]]=tblLineas[[#This Row],[OrderQty]],1,0)</f>
        <v>1</v>
      </c>
      <c r="I62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3" spans="1:9">
      <c r="A63">
        <v>43861</v>
      </c>
      <c r="B63">
        <v>651</v>
      </c>
      <c r="C63">
        <v>755</v>
      </c>
      <c r="D63">
        <v>2</v>
      </c>
      <c r="E63" s="1">
        <v>45837</v>
      </c>
      <c r="F63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63">
        <f>tblLineas[[#This Row],[OrderQty]]-tblLineas[[#This Row],[Entregadas]]</f>
        <v>0</v>
      </c>
      <c r="H63">
        <f>IF(tblLineas[[#This Row],[Entregadas]]=tblLineas[[#This Row],[OrderQty]],1,0)</f>
        <v>1</v>
      </c>
      <c r="I63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4" spans="1:9">
      <c r="A64">
        <v>43861</v>
      </c>
      <c r="B64">
        <v>652</v>
      </c>
      <c r="C64">
        <v>716</v>
      </c>
      <c r="D64">
        <v>6</v>
      </c>
      <c r="E64" s="1">
        <v>45837</v>
      </c>
      <c r="F64">
        <f>SUMIFS(tblEntregas[DeliveredQty],tblEntregas[SalesOrderID],tblLineas[[#This Row],[SalesOrderID]],tblEntregas[SalesOrderDetailID],tblLineas[[#This Row],[SalesOrderDetailID]],tblEntregas[DeliveryDate],"&lt;="&amp;tblLineas[[#This Row],[CutoffDate]])</f>
        <v>6</v>
      </c>
      <c r="G64">
        <f>tblLineas[[#This Row],[OrderQty]]-tblLineas[[#This Row],[Entregadas]]</f>
        <v>0</v>
      </c>
      <c r="H64">
        <f>IF(tblLineas[[#This Row],[Entregadas]]=tblLineas[[#This Row],[OrderQty]],1,0)</f>
        <v>1</v>
      </c>
      <c r="I64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5" spans="1:9">
      <c r="A65">
        <v>43861</v>
      </c>
      <c r="B65">
        <v>653</v>
      </c>
      <c r="C65">
        <v>763</v>
      </c>
      <c r="D65">
        <v>2</v>
      </c>
      <c r="E65" s="1">
        <v>45837</v>
      </c>
      <c r="F65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65">
        <f>tblLineas[[#This Row],[OrderQty]]-tblLineas[[#This Row],[Entregadas]]</f>
        <v>0</v>
      </c>
      <c r="H65">
        <f>IF(tblLineas[[#This Row],[Entregadas]]=tblLineas[[#This Row],[OrderQty]],1,0)</f>
        <v>1</v>
      </c>
      <c r="I65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6" spans="1:9">
      <c r="A66">
        <v>43861</v>
      </c>
      <c r="B66">
        <v>654</v>
      </c>
      <c r="C66">
        <v>758</v>
      </c>
      <c r="D66">
        <v>2</v>
      </c>
      <c r="E66" s="1">
        <v>45837</v>
      </c>
      <c r="F66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66">
        <f>tblLineas[[#This Row],[OrderQty]]-tblLineas[[#This Row],[Entregadas]]</f>
        <v>0</v>
      </c>
      <c r="H66">
        <f>IF(tblLineas[[#This Row],[Entregadas]]=tblLineas[[#This Row],[OrderQty]],1,0)</f>
        <v>1</v>
      </c>
      <c r="I66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7" spans="1:9">
      <c r="A67">
        <v>43861</v>
      </c>
      <c r="B67">
        <v>655</v>
      </c>
      <c r="C67">
        <v>712</v>
      </c>
      <c r="D67">
        <v>9</v>
      </c>
      <c r="E67" s="1">
        <v>45837</v>
      </c>
      <c r="F67">
        <f>SUMIFS(tblEntregas[DeliveredQty],tblEntregas[SalesOrderID],tblLineas[[#This Row],[SalesOrderID]],tblEntregas[SalesOrderDetailID],tblLineas[[#This Row],[SalesOrderDetailID]],tblEntregas[DeliveryDate],"&lt;="&amp;tblLineas[[#This Row],[CutoffDate]])</f>
        <v>9</v>
      </c>
      <c r="G67">
        <f>tblLineas[[#This Row],[OrderQty]]-tblLineas[[#This Row],[Entregadas]]</f>
        <v>0</v>
      </c>
      <c r="H67">
        <f>IF(tblLineas[[#This Row],[Entregadas]]=tblLineas[[#This Row],[OrderQty]],1,0)</f>
        <v>1</v>
      </c>
      <c r="I67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8" spans="1:9">
      <c r="A68">
        <v>43861</v>
      </c>
      <c r="B68">
        <v>656</v>
      </c>
      <c r="C68">
        <v>761</v>
      </c>
      <c r="D68">
        <v>2</v>
      </c>
      <c r="E68" s="1">
        <v>45837</v>
      </c>
      <c r="F68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68">
        <f>tblLineas[[#This Row],[OrderQty]]-tblLineas[[#This Row],[Entregadas]]</f>
        <v>0</v>
      </c>
      <c r="H68">
        <f>IF(tblLineas[[#This Row],[Entregadas]]=tblLineas[[#This Row],[OrderQty]],1,0)</f>
        <v>1</v>
      </c>
      <c r="I68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69" spans="1:9">
      <c r="A69">
        <v>43861</v>
      </c>
      <c r="B69">
        <v>657</v>
      </c>
      <c r="C69">
        <v>707</v>
      </c>
      <c r="D69">
        <v>4</v>
      </c>
      <c r="E69" s="1">
        <v>45837</v>
      </c>
      <c r="F69">
        <f>SUMIFS(tblEntregas[DeliveredQty],tblEntregas[SalesOrderID],tblLineas[[#This Row],[SalesOrderID]],tblEntregas[SalesOrderDetailID],tblLineas[[#This Row],[SalesOrderDetailID]],tblEntregas[DeliveryDate],"&lt;="&amp;tblLineas[[#This Row],[CutoffDate]])</f>
        <v>4</v>
      </c>
      <c r="G69">
        <f>tblLineas[[#This Row],[OrderQty]]-tblLineas[[#This Row],[Entregadas]]</f>
        <v>0</v>
      </c>
      <c r="H69">
        <f>IF(tblLineas[[#This Row],[Entregadas]]=tblLineas[[#This Row],[OrderQty]],1,0)</f>
        <v>1</v>
      </c>
      <c r="I69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70" spans="1:9">
      <c r="A70">
        <v>43861</v>
      </c>
      <c r="B70">
        <v>658</v>
      </c>
      <c r="C70">
        <v>738</v>
      </c>
      <c r="D70">
        <v>1</v>
      </c>
      <c r="E70" s="1">
        <v>45837</v>
      </c>
      <c r="F70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70">
        <f>tblLineas[[#This Row],[OrderQty]]-tblLineas[[#This Row],[Entregadas]]</f>
        <v>0</v>
      </c>
      <c r="H70">
        <f>IF(tblLineas[[#This Row],[Entregadas]]=tblLineas[[#This Row],[OrderQty]],1,0)</f>
        <v>1</v>
      </c>
      <c r="I70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71" spans="1:9">
      <c r="A71">
        <v>43861</v>
      </c>
      <c r="B71">
        <v>659</v>
      </c>
      <c r="C71">
        <v>714</v>
      </c>
      <c r="D71">
        <v>3</v>
      </c>
      <c r="E71" s="1">
        <v>45837</v>
      </c>
      <c r="F71">
        <f>SUMIFS(tblEntregas[DeliveredQty],tblEntregas[SalesOrderID],tblLineas[[#This Row],[SalesOrderID]],tblEntregas[SalesOrderDetailID],tblLineas[[#This Row],[SalesOrderDetailID]],tblEntregas[DeliveryDate],"&lt;="&amp;tblLineas[[#This Row],[CutoffDate]])</f>
        <v>3</v>
      </c>
      <c r="G71">
        <f>tblLineas[[#This Row],[OrderQty]]-tblLineas[[#This Row],[Entregadas]]</f>
        <v>0</v>
      </c>
      <c r="H71">
        <f>IF(tblLineas[[#This Row],[Entregadas]]=tblLineas[[#This Row],[OrderQty]],1,0)</f>
        <v>1</v>
      </c>
      <c r="I71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72" spans="1:9">
      <c r="A72">
        <v>43861</v>
      </c>
      <c r="B72">
        <v>660</v>
      </c>
      <c r="C72">
        <v>722</v>
      </c>
      <c r="D72">
        <v>2</v>
      </c>
      <c r="E72" s="1">
        <v>45837</v>
      </c>
      <c r="F72">
        <f>SUMIFS(tblEntregas[DeliveredQty],tblEntregas[SalesOrderID],tblLineas[[#This Row],[SalesOrderID]],tblEntregas[SalesOrderDetailID],tblLineas[[#This Row],[SalesOrderDetailID]],tblEntregas[DeliveryDate],"&lt;="&amp;tblLineas[[#This Row],[CutoffDate]])</f>
        <v>2</v>
      </c>
      <c r="G72">
        <f>tblLineas[[#This Row],[OrderQty]]-tblLineas[[#This Row],[Entregadas]]</f>
        <v>0</v>
      </c>
      <c r="H72">
        <f>IF(tblLineas[[#This Row],[Entregadas]]=tblLineas[[#This Row],[OrderQty]],1,0)</f>
        <v>1</v>
      </c>
      <c r="I72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73" spans="1:9">
      <c r="A73">
        <v>43861</v>
      </c>
      <c r="B73">
        <v>661</v>
      </c>
      <c r="C73">
        <v>708</v>
      </c>
      <c r="D73">
        <v>3</v>
      </c>
      <c r="E73" s="1">
        <v>45837</v>
      </c>
      <c r="F73">
        <f>SUMIFS(tblEntregas[DeliveredQty],tblEntregas[SalesOrderID],tblLineas[[#This Row],[SalesOrderID]],tblEntregas[SalesOrderDetailID],tblLineas[[#This Row],[SalesOrderDetailID]],tblEntregas[DeliveryDate],"&lt;="&amp;tblLineas[[#This Row],[CutoffDate]])</f>
        <v>3</v>
      </c>
      <c r="G73">
        <f>tblLineas[[#This Row],[OrderQty]]-tblLineas[[#This Row],[Entregadas]]</f>
        <v>0</v>
      </c>
      <c r="H73">
        <f>IF(tblLineas[[#This Row],[Entregadas]]=tblLineas[[#This Row],[OrderQty]],1,0)</f>
        <v>1</v>
      </c>
      <c r="I73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44753</v>
      </c>
    </row>
    <row r="74" spans="1:9">
      <c r="A74">
        <v>74491</v>
      </c>
      <c r="B74">
        <v>119870</v>
      </c>
      <c r="C74">
        <v>921</v>
      </c>
      <c r="D74">
        <v>1</v>
      </c>
      <c r="E74" s="1">
        <v>45837</v>
      </c>
      <c r="F74">
        <f>SUMIFS(tblEntregas[DeliveredQty],tblEntregas[SalesOrderID],tblLineas[[#This Row],[SalesOrderID]],tblEntregas[SalesOrderDetailID],tblLineas[[#This Row],[SalesOrderDetailID]],tblEntregas[DeliveryDate],"&lt;="&amp;tblLineas[[#This Row],[CutoffDate]])</f>
        <v>0</v>
      </c>
      <c r="G74">
        <f>tblLineas[[#This Row],[OrderQty]]-tblLineas[[#This Row],[Entregadas]]</f>
        <v>1</v>
      </c>
      <c r="H74">
        <f>IF(tblLineas[[#This Row],[Entregadas]]=tblLineas[[#This Row],[OrderQty]],1,0)</f>
        <v>0</v>
      </c>
      <c r="I74" s="1" t="str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/>
      </c>
    </row>
    <row r="75" spans="1:9">
      <c r="A75">
        <v>74491</v>
      </c>
      <c r="B75">
        <v>119871</v>
      </c>
      <c r="C75">
        <v>878</v>
      </c>
      <c r="D75">
        <v>1</v>
      </c>
      <c r="E75" s="1">
        <v>45837</v>
      </c>
      <c r="F75">
        <f>SUMIFS(tblEntregas[DeliveredQty],tblEntregas[SalesOrderID],tblLineas[[#This Row],[SalesOrderID]],tblEntregas[SalesOrderDetailID],tblLineas[[#This Row],[SalesOrderDetailID]],tblEntregas[DeliveryDate],"&lt;="&amp;tblLineas[[#This Row],[CutoffDate]])</f>
        <v>0</v>
      </c>
      <c r="G75">
        <f>tblLineas[[#This Row],[OrderQty]]-tblLineas[[#This Row],[Entregadas]]</f>
        <v>1</v>
      </c>
      <c r="H75">
        <f>IF(tblLineas[[#This Row],[Entregadas]]=tblLineas[[#This Row],[OrderQty]],1,0)</f>
        <v>0</v>
      </c>
      <c r="I75" s="1" t="str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/>
      </c>
    </row>
    <row r="76" spans="1:9">
      <c r="A76">
        <v>74491</v>
      </c>
      <c r="B76">
        <v>119872</v>
      </c>
      <c r="C76">
        <v>715</v>
      </c>
      <c r="D76">
        <v>1</v>
      </c>
      <c r="E76" s="1">
        <v>45837</v>
      </c>
      <c r="F76">
        <f>SUMIFS(tblEntregas[DeliveredQty],tblEntregas[SalesOrderID],tblLineas[[#This Row],[SalesOrderID]],tblEntregas[SalesOrderDetailID],tblLineas[[#This Row],[SalesOrderDetailID]],tblEntregas[DeliveryDate],"&lt;="&amp;tblLineas[[#This Row],[CutoffDate]])</f>
        <v>0</v>
      </c>
      <c r="G76">
        <f>tblLineas[[#This Row],[OrderQty]]-tblLineas[[#This Row],[Entregadas]]</f>
        <v>1</v>
      </c>
      <c r="H76">
        <f>IF(tblLineas[[#This Row],[Entregadas]]=tblLineas[[#This Row],[OrderQty]],1,0)</f>
        <v>0</v>
      </c>
      <c r="I76" s="1" t="str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/>
      </c>
    </row>
    <row r="77" spans="1:9">
      <c r="A77">
        <v>74492</v>
      </c>
      <c r="B77">
        <v>119873</v>
      </c>
      <c r="C77">
        <v>921</v>
      </c>
      <c r="D77">
        <v>1</v>
      </c>
      <c r="E77" s="1">
        <v>45837</v>
      </c>
      <c r="F77">
        <f>SUMIFS(tblEntregas[DeliveredQty],tblEntregas[SalesOrderID],tblLineas[[#This Row],[SalesOrderID]],tblEntregas[SalesOrderDetailID],tblLineas[[#This Row],[SalesOrderDetailID]],tblEntregas[DeliveryDate],"&lt;="&amp;tblLineas[[#This Row],[CutoffDate]])</f>
        <v>0</v>
      </c>
      <c r="G77">
        <f>tblLineas[[#This Row],[OrderQty]]-tblLineas[[#This Row],[Entregadas]]</f>
        <v>1</v>
      </c>
      <c r="H77">
        <f>IF(tblLineas[[#This Row],[Entregadas]]=tblLineas[[#This Row],[OrderQty]],1,0)</f>
        <v>0</v>
      </c>
      <c r="I77" s="1" t="str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/>
      </c>
    </row>
    <row r="78" spans="1:9">
      <c r="A78">
        <v>74695</v>
      </c>
      <c r="B78">
        <v>120308</v>
      </c>
      <c r="C78">
        <v>873</v>
      </c>
      <c r="D78">
        <v>1</v>
      </c>
      <c r="E78" s="1">
        <v>45837</v>
      </c>
      <c r="F78">
        <f>SUMIFS(tblEntregas[DeliveredQty],tblEntregas[SalesOrderID],tblLineas[[#This Row],[SalesOrderID]],tblEntregas[SalesOrderDetailID],tblLineas[[#This Row],[SalesOrderDetailID]],tblEntregas[DeliveryDate],"&lt;="&amp;tblLineas[[#This Row],[CutoffDate]])</f>
        <v>0</v>
      </c>
      <c r="G78">
        <f>tblLineas[[#This Row],[OrderQty]]-tblLineas[[#This Row],[Entregadas]]</f>
        <v>1</v>
      </c>
      <c r="H78">
        <f>IF(tblLineas[[#This Row],[Entregadas]]=tblLineas[[#This Row],[OrderQty]],1,0)</f>
        <v>0</v>
      </c>
      <c r="I78" s="1" t="str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/>
      </c>
    </row>
    <row r="79" spans="1:9">
      <c r="A79">
        <v>74696</v>
      </c>
      <c r="B79">
        <v>120309</v>
      </c>
      <c r="C79">
        <v>923</v>
      </c>
      <c r="D79">
        <v>1</v>
      </c>
      <c r="E79" s="1">
        <v>45837</v>
      </c>
      <c r="F79">
        <f>SUMIFS(tblEntregas[DeliveredQty],tblEntregas[SalesOrderID],tblLineas[[#This Row],[SalesOrderID]],tblEntregas[SalesOrderDetailID],tblLineas[[#This Row],[SalesOrderDetailID]],tblEntregas[DeliveryDate],"&lt;="&amp;tblLineas[[#This Row],[CutoffDate]])</f>
        <v>1</v>
      </c>
      <c r="G79">
        <f>tblLineas[[#This Row],[OrderQty]]-tblLineas[[#This Row],[Entregadas]]</f>
        <v>0</v>
      </c>
      <c r="H79">
        <f>IF(tblLineas[[#This Row],[Entregadas]]=tblLineas[[#This Row],[OrderQty]],1,0)</f>
        <v>1</v>
      </c>
      <c r="I79" s="1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>45834</v>
      </c>
    </row>
    <row r="80" spans="1:9">
      <c r="A80">
        <v>74696</v>
      </c>
      <c r="B80">
        <v>120310</v>
      </c>
      <c r="C80">
        <v>707</v>
      </c>
      <c r="D80">
        <v>1</v>
      </c>
      <c r="E80" s="1">
        <v>45837</v>
      </c>
      <c r="F80">
        <f>SUMIFS(tblEntregas[DeliveredQty],tblEntregas[SalesOrderID],tblLineas[[#This Row],[SalesOrderID]],tblEntregas[SalesOrderDetailID],tblLineas[[#This Row],[SalesOrderDetailID]],tblEntregas[DeliveryDate],"&lt;="&amp;tblLineas[[#This Row],[CutoffDate]])</f>
        <v>0</v>
      </c>
      <c r="G80">
        <f>tblLineas[[#This Row],[OrderQty]]-tblLineas[[#This Row],[Entregadas]]</f>
        <v>1</v>
      </c>
      <c r="H80">
        <f>IF(tblLineas[[#This Row],[Entregadas]]=tblLineas[[#This Row],[OrderQty]],1,0)</f>
        <v>0</v>
      </c>
      <c r="I80" s="1" t="str">
        <f>IF(tblLineas[[#This Row],[Entregadas]]=0,"",_xlfn.MAXIFS(tblEntregas[DeliveryDate],tblEntregas[SalesOrderID],tblLineas[[#This Row],[SalesOrderID]],tblEntregas[SalesOrderDetailID],tblLineas[[#This Row],[SalesOrderDetailID]],tblEntregas[DeliveryDate],"&lt;="&amp;tblLineas[[#This Row],[CutoffDate]]))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F5AA-E3A3-4892-8F88-0648CCFF472E}">
  <dimension ref="A1:P21"/>
  <sheetViews>
    <sheetView tabSelected="1" workbookViewId="0">
      <selection activeCell="C14" sqref="C14"/>
    </sheetView>
  </sheetViews>
  <sheetFormatPr baseColWidth="10" defaultRowHeight="15"/>
  <cols>
    <col min="1" max="1" width="15.28515625" bestFit="1" customWidth="1"/>
    <col min="2" max="2" width="12.7109375" bestFit="1" customWidth="1"/>
    <col min="3" max="3" width="24" bestFit="1" customWidth="1"/>
    <col min="4" max="4" width="13.42578125" bestFit="1" customWidth="1"/>
    <col min="5" max="5" width="18" bestFit="1" customWidth="1"/>
    <col min="6" max="6" width="26.7109375" bestFit="1" customWidth="1"/>
    <col min="7" max="7" width="16.85546875" bestFit="1" customWidth="1"/>
    <col min="8" max="8" width="17.140625" bestFit="1" customWidth="1"/>
    <col min="9" max="9" width="10.85546875" bestFit="1" customWidth="1"/>
    <col min="10" max="11" width="18.5703125" bestFit="1" customWidth="1"/>
    <col min="12" max="12" width="17" bestFit="1" customWidth="1"/>
    <col min="13" max="13" width="22.7109375" bestFit="1" customWidth="1"/>
    <col min="14" max="14" width="26.7109375" bestFit="1" customWidth="1"/>
    <col min="15" max="15" width="12.5703125" bestFit="1" customWidth="1"/>
    <col min="16" max="16" width="15.42578125" bestFit="1" customWidth="1"/>
  </cols>
  <sheetData>
    <row r="1" spans="1:16">
      <c r="A1" t="s">
        <v>0</v>
      </c>
      <c r="B1" t="s">
        <v>1</v>
      </c>
      <c r="C1" t="s">
        <v>5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</row>
    <row r="2" spans="1:16">
      <c r="A2">
        <v>43659</v>
      </c>
      <c r="B2" s="1">
        <v>44711</v>
      </c>
      <c r="C2" s="1">
        <v>44725</v>
      </c>
      <c r="D2" s="1">
        <v>45837</v>
      </c>
      <c r="E2">
        <v>0</v>
      </c>
      <c r="F2" t="s">
        <v>86</v>
      </c>
      <c r="G2">
        <v>26</v>
      </c>
      <c r="H2">
        <v>0</v>
      </c>
      <c r="I2">
        <v>1</v>
      </c>
      <c r="J2">
        <f>SUMIFS(tblLineas[Entregadas],tblLineas[SalesOrderID],tblPedidos[[#This Row],[SalesOrderID]])</f>
        <v>26</v>
      </c>
      <c r="K2">
        <f>SUMIFS(tblLineas[Pendientes],tblLineas[SalesOrderID],tblPedidos[[#This Row],[SalesOrderID]])</f>
        <v>0</v>
      </c>
      <c r="L2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1</v>
      </c>
      <c r="M2" s="1">
        <f>IF(tblPedidos[[#This Row],[CompletoExcel]]=1,_xlfn.MAXIFS(tblLineas[Ultima entrega],tblLineas[SalesOrderID],tblPedidos[[#This Row],[SalesOrderID]]),"")</f>
        <v>44721</v>
      </c>
      <c r="N2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COMPLETO_A_TIEMPO</v>
      </c>
      <c r="O2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1</v>
      </c>
      <c r="P2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3" spans="1:16">
      <c r="A3">
        <v>43660</v>
      </c>
      <c r="B3" s="1">
        <v>44711</v>
      </c>
      <c r="C3" s="1">
        <v>44725</v>
      </c>
      <c r="D3" s="1">
        <v>45837</v>
      </c>
      <c r="E3">
        <v>0</v>
      </c>
      <c r="F3" t="s">
        <v>86</v>
      </c>
      <c r="G3">
        <v>2</v>
      </c>
      <c r="H3">
        <v>0</v>
      </c>
      <c r="I3">
        <v>1</v>
      </c>
      <c r="J3">
        <f>SUMIFS(tblLineas[Entregadas],tblLineas[SalesOrderID],tblPedidos[[#This Row],[SalesOrderID]])</f>
        <v>2</v>
      </c>
      <c r="K3">
        <f>SUMIFS(tblLineas[Pendientes],tblLineas[SalesOrderID],tblPedidos[[#This Row],[SalesOrderID]])</f>
        <v>0</v>
      </c>
      <c r="L3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1</v>
      </c>
      <c r="M3" s="1">
        <f>IF(tblPedidos[[#This Row],[CompletoExcel]]=1,_xlfn.MAXIFS(tblLineas[Ultima entrega],tblLineas[SalesOrderID],tblPedidos[[#This Row],[SalesOrderID]]),"")</f>
        <v>44722</v>
      </c>
      <c r="N3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COMPLETO_A_TIEMPO</v>
      </c>
      <c r="O3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1</v>
      </c>
      <c r="P3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4" spans="1:16">
      <c r="A4">
        <v>43665</v>
      </c>
      <c r="B4" s="1">
        <v>44711</v>
      </c>
      <c r="C4" s="1">
        <v>44725</v>
      </c>
      <c r="D4" s="1">
        <v>45837</v>
      </c>
      <c r="E4">
        <v>0</v>
      </c>
      <c r="F4" t="s">
        <v>87</v>
      </c>
      <c r="G4">
        <v>20</v>
      </c>
      <c r="H4">
        <v>0</v>
      </c>
      <c r="I4">
        <v>0</v>
      </c>
      <c r="J4">
        <f>SUMIFS(tblLineas[Entregadas],tblLineas[SalesOrderID],tblPedidos[[#This Row],[SalesOrderID]])</f>
        <v>20</v>
      </c>
      <c r="K4">
        <f>SUMIFS(tblLineas[Pendientes],tblLineas[SalesOrderID],tblPedidos[[#This Row],[SalesOrderID]])</f>
        <v>0</v>
      </c>
      <c r="L4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1</v>
      </c>
      <c r="M4" s="1">
        <f>IF(tblPedidos[[#This Row],[CompletoExcel]]=1,_xlfn.MAXIFS(tblLineas[Ultima entrega],tblLineas[SalesOrderID],tblPedidos[[#This Row],[SalesOrderID]]),"")</f>
        <v>44730</v>
      </c>
      <c r="N4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COMPLETO_TARDE</v>
      </c>
      <c r="O4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0</v>
      </c>
      <c r="P4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5" spans="1:16">
      <c r="A5">
        <v>43666</v>
      </c>
      <c r="B5" s="1">
        <v>44711</v>
      </c>
      <c r="C5" s="1">
        <v>44725</v>
      </c>
      <c r="D5" s="1">
        <v>45837</v>
      </c>
      <c r="E5">
        <v>0</v>
      </c>
      <c r="F5" t="s">
        <v>87</v>
      </c>
      <c r="G5">
        <v>7</v>
      </c>
      <c r="H5">
        <v>0</v>
      </c>
      <c r="I5">
        <v>0</v>
      </c>
      <c r="J5">
        <f>SUMIFS(tblLineas[Entregadas],tblLineas[SalesOrderID],tblPedidos[[#This Row],[SalesOrderID]])</f>
        <v>7</v>
      </c>
      <c r="K5">
        <f>SUMIFS(tblLineas[Pendientes],tblLineas[SalesOrderID],tblPedidos[[#This Row],[SalesOrderID]])</f>
        <v>0</v>
      </c>
      <c r="L5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1</v>
      </c>
      <c r="M5" s="1">
        <f>IF(tblPedidos[[#This Row],[CompletoExcel]]=1,_xlfn.MAXIFS(tblLineas[Ultima entrega],tblLineas[SalesOrderID],tblPedidos[[#This Row],[SalesOrderID]]),"")</f>
        <v>44729</v>
      </c>
      <c r="N5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COMPLETO_TARDE</v>
      </c>
      <c r="O5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0</v>
      </c>
      <c r="P5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6" spans="1:16">
      <c r="A6">
        <v>43661</v>
      </c>
      <c r="B6" s="1">
        <v>44711</v>
      </c>
      <c r="C6" s="1">
        <v>44725</v>
      </c>
      <c r="D6" s="1">
        <v>45837</v>
      </c>
      <c r="E6">
        <v>1</v>
      </c>
      <c r="F6" t="s">
        <v>88</v>
      </c>
      <c r="G6">
        <v>33</v>
      </c>
      <c r="H6">
        <v>5</v>
      </c>
      <c r="J6">
        <f>SUMIFS(tblLineas[Entregadas],tblLineas[SalesOrderID],tblPedidos[[#This Row],[SalesOrderID]])</f>
        <v>33</v>
      </c>
      <c r="K6">
        <f>SUMIFS(tblLineas[Pendientes],tblLineas[SalesOrderID],tblPedidos[[#This Row],[SalesOrderID]])</f>
        <v>5</v>
      </c>
      <c r="L6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0</v>
      </c>
      <c r="M6" s="1" t="str">
        <f>IF(tblPedidos[[#This Row],[CompletoExcel]]=1,_xlfn.MAXIFS(tblLineas[Ultima entrega],tblLineas[SalesOrderID],tblPedidos[[#This Row],[SalesOrderID]]),"")</f>
        <v/>
      </c>
      <c r="N6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INFORMACION_EN_REVISION</v>
      </c>
      <c r="O6" t="str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NO_EVALUABLE</v>
      </c>
      <c r="P6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7" spans="1:16">
      <c r="A7">
        <v>43861</v>
      </c>
      <c r="B7" s="1">
        <v>44742</v>
      </c>
      <c r="C7" s="1">
        <v>44756</v>
      </c>
      <c r="D7" s="1">
        <v>45837</v>
      </c>
      <c r="E7">
        <v>1</v>
      </c>
      <c r="F7" t="s">
        <v>88</v>
      </c>
      <c r="G7">
        <v>82</v>
      </c>
      <c r="H7">
        <v>1</v>
      </c>
      <c r="J7">
        <f>SUMIFS(tblLineas[Entregadas],tblLineas[SalesOrderID],tblPedidos[[#This Row],[SalesOrderID]])</f>
        <v>82</v>
      </c>
      <c r="K7">
        <f>SUMIFS(tblLineas[Pendientes],tblLineas[SalesOrderID],tblPedidos[[#This Row],[SalesOrderID]])</f>
        <v>1</v>
      </c>
      <c r="L7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0</v>
      </c>
      <c r="M7" s="1" t="str">
        <f>IF(tblPedidos[[#This Row],[CompletoExcel]]=1,_xlfn.MAXIFS(tblLineas[Ultima entrega],tblLineas[SalesOrderID],tblPedidos[[#This Row],[SalesOrderID]]),"")</f>
        <v/>
      </c>
      <c r="N7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INFORMACION_EN_REVISION</v>
      </c>
      <c r="O7" t="str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NO_EVALUABLE</v>
      </c>
      <c r="P7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8" spans="1:16">
      <c r="A8">
        <v>74695</v>
      </c>
      <c r="B8" s="1">
        <v>45824</v>
      </c>
      <c r="C8" s="1">
        <v>45838</v>
      </c>
      <c r="D8" s="1">
        <v>45837</v>
      </c>
      <c r="E8">
        <v>0</v>
      </c>
      <c r="F8" t="s">
        <v>89</v>
      </c>
      <c r="G8">
        <v>0</v>
      </c>
      <c r="H8">
        <v>1</v>
      </c>
      <c r="J8">
        <f>SUMIFS(tblLineas[Entregadas],tblLineas[SalesOrderID],tblPedidos[[#This Row],[SalesOrderID]])</f>
        <v>0</v>
      </c>
      <c r="K8">
        <f>SUMIFS(tblLineas[Pendientes],tblLineas[SalesOrderID],tblPedidos[[#This Row],[SalesOrderID]])</f>
        <v>1</v>
      </c>
      <c r="L8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0</v>
      </c>
      <c r="M8" s="1" t="str">
        <f>IF(tblPedidos[[#This Row],[CompletoExcel]]=1,_xlfn.MAXIFS(tblLineas[Ultima entrega],tblLineas[SalesOrderID],tblPedidos[[#This Row],[SalesOrderID]]),"")</f>
        <v/>
      </c>
      <c r="N8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PENDIENTE_EN_PLAZO</v>
      </c>
      <c r="O8" t="str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NO_EVALUABLE</v>
      </c>
      <c r="P8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9" spans="1:16">
      <c r="A9">
        <v>74696</v>
      </c>
      <c r="B9" s="1">
        <v>45824</v>
      </c>
      <c r="C9" s="1">
        <v>45838</v>
      </c>
      <c r="D9" s="1">
        <v>45837</v>
      </c>
      <c r="E9">
        <v>0</v>
      </c>
      <c r="F9" t="s">
        <v>89</v>
      </c>
      <c r="G9">
        <v>1</v>
      </c>
      <c r="H9">
        <v>1</v>
      </c>
      <c r="J9">
        <f>SUMIFS(tblLineas[Entregadas],tblLineas[SalesOrderID],tblPedidos[[#This Row],[SalesOrderID]])</f>
        <v>1</v>
      </c>
      <c r="K9">
        <f>SUMIFS(tblLineas[Pendientes],tblLineas[SalesOrderID],tblPedidos[[#This Row],[SalesOrderID]])</f>
        <v>1</v>
      </c>
      <c r="L9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0</v>
      </c>
      <c r="M9" s="1" t="str">
        <f>IF(tblPedidos[[#This Row],[CompletoExcel]]=1,_xlfn.MAXIFS(tblLineas[Ultima entrega],tblLineas[SalesOrderID],tblPedidos[[#This Row],[SalesOrderID]]),"")</f>
        <v/>
      </c>
      <c r="N9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PENDIENTE_EN_PLAZO</v>
      </c>
      <c r="O9" t="str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NO_EVALUABLE</v>
      </c>
      <c r="P9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10" spans="1:16">
      <c r="A10">
        <v>74491</v>
      </c>
      <c r="B10" s="1">
        <v>45817</v>
      </c>
      <c r="C10" s="1">
        <v>45831</v>
      </c>
      <c r="D10" s="1">
        <v>45837</v>
      </c>
      <c r="E10">
        <v>0</v>
      </c>
      <c r="F10" t="s">
        <v>90</v>
      </c>
      <c r="G10">
        <v>0</v>
      </c>
      <c r="H10">
        <v>3</v>
      </c>
      <c r="I10">
        <v>0</v>
      </c>
      <c r="J10">
        <f>SUMIFS(tblLineas[Entregadas],tblLineas[SalesOrderID],tblPedidos[[#This Row],[SalesOrderID]])</f>
        <v>0</v>
      </c>
      <c r="K10">
        <f>SUMIFS(tblLineas[Pendientes],tblLineas[SalesOrderID],tblPedidos[[#This Row],[SalesOrderID]])</f>
        <v>3</v>
      </c>
      <c r="L10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0</v>
      </c>
      <c r="M10" s="1" t="str">
        <f>IF(tblPedidos[[#This Row],[CompletoExcel]]=1,_xlfn.MAXIFS(tblLineas[Ultima entrega],tblLineas[SalesOrderID],tblPedidos[[#This Row],[SalesOrderID]]),"")</f>
        <v/>
      </c>
      <c r="N10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PENDIENTE_VENCIDO</v>
      </c>
      <c r="O10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0</v>
      </c>
      <c r="P10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11" spans="1:16">
      <c r="A11">
        <v>74492</v>
      </c>
      <c r="B11" s="1">
        <v>45817</v>
      </c>
      <c r="C11" s="1">
        <v>45831</v>
      </c>
      <c r="D11" s="1">
        <v>45837</v>
      </c>
      <c r="E11">
        <v>0</v>
      </c>
      <c r="F11" t="s">
        <v>90</v>
      </c>
      <c r="G11">
        <v>0</v>
      </c>
      <c r="H11">
        <v>1</v>
      </c>
      <c r="I11">
        <v>0</v>
      </c>
      <c r="J11">
        <f>SUMIFS(tblLineas[Entregadas],tblLineas[SalesOrderID],tblPedidos[[#This Row],[SalesOrderID]])</f>
        <v>0</v>
      </c>
      <c r="K11">
        <f>SUMIFS(tblLineas[Pendientes],tblLineas[SalesOrderID],tblPedidos[[#This Row],[SalesOrderID]])</f>
        <v>1</v>
      </c>
      <c r="L11">
        <f>IF(AND(COUNTIF(tblLineas[SalesOrderID],tblPedidos[[#This Row],[SalesOrderID]])&gt;0,SUMIFS(tblLineas[Completa],tblLineas[SalesOrderID],tblPedidos[[#This Row],[SalesOrderID]])=COUNTIF(tblLineas[SalesOrderID],tblPedidos[[#This Row],[SalesOrderID]])),1,0)</f>
        <v>0</v>
      </c>
      <c r="M11" s="1" t="str">
        <f>IF(tblPedidos[[#This Row],[CompletoExcel]]=1,_xlfn.MAXIFS(tblLineas[Ultima entrega],tblLineas[SalesOrderID],tblPedidos[[#This Row],[SalesOrderID]]),"")</f>
        <v/>
      </c>
      <c r="N11" t="str">
        <f>IF(tblPedidos[[#This Row],[HasQualityIssue]]=1,"INFORMACION_EN_REVISION",IF(tblPedidos[[#This Row],[CompletoExcel]]=1,IF(tblPedidos[[#This Row],[FechaCompletaExcel]]&lt;=tblPedidos[[#This Row],[PromisedDeliveryDate]],"COMPLETO_A_TIEMPO","COMPLETO_TARDE"),IF(tblPedidos[[#This Row],[PromisedDeliveryDate]]&lt;=tblPedidos[[#This Row],[CutoffDate]],"PENDIENTE_VENCIDO","PENDIENTE_EN_PLAZO")))</f>
        <v>PENDIENTE_VENCIDO</v>
      </c>
      <c r="O11">
        <f>IF(OR(tblPedidos[[#This Row],[HasQualityIssue]]=1,tblPedidos[[#This Row],[PromisedDeliveryDate]]&gt;tblPedidos[[#This Row],[CutoffDate]]),"NO_EVALUABLE",IF(AND(tblPedidos[[#This Row],[CompletoExcel]]=1,tblPedidos[[#This Row],[FechaCompletaExcel]]&lt;=tblPedidos[[#This Row],[PromisedDeliveryDate]]),1,0))</f>
        <v>0</v>
      </c>
      <c r="P11" t="str">
        <f>IF(AND(tblPedidos[[#This Row],[EntregadasExcel]]=tblPedidos[[#This Row],[EntregadasSQL]],tblPedidos[[#This Row],[PendientesExcel]]=tblPedidos[[#This Row],[PendientesSQL]],tblPedidos[[#This Row],[EstadoExcel]]=tblPedidos[[#This Row],[EstadoSQL]],IF(tblPedidos[[#This Row],[OTIFExcel]]="NO_EVALUABLE",tblPedidos[[#This Row],[OTIFSQL]]="",tblPedidos[[#This Row],[OTIFExcel]]=tblPedidos[[#This Row],[OTIFSQL]])),"COINCIDE","REVISAR")</f>
        <v>COINCIDE</v>
      </c>
    </row>
    <row r="21" spans="8:8">
      <c r="H2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3F3B-3CD1-45CC-B205-1DF12179A91C}">
  <dimension ref="A1"/>
  <sheetViews>
    <sheetView workbookViewId="0">
      <selection activeCell="C18" sqref="C18"/>
    </sheetView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E406DF-C5FD-4A0C-BA5C-496413ABC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Entregas</vt:lpstr>
      <vt:lpstr>Líneas</vt:lpstr>
      <vt:lpstr>Pedidos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Flores</dc:creator>
  <cp:lastModifiedBy>Jared Flores</cp:lastModifiedBy>
  <dcterms:created xsi:type="dcterms:W3CDTF">2026-10-28T16:39:05Z</dcterms:created>
  <dcterms:modified xsi:type="dcterms:W3CDTF">2026-10-28T22:14:37Z</dcterms:modified>
</cp:coreProperties>
</file>